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Penilaian" sheetId="1" r:id="rId5"/>
    <sheet state="visible" name="Zero-Shot" sheetId="2" r:id="rId6"/>
    <sheet state="visible" name="Role-Based" sheetId="3" r:id="rId7"/>
    <sheet state="visible" name="CoT" sheetId="4" r:id="rId8"/>
  </sheets>
  <definedNames/>
  <calcPr/>
</workbook>
</file>

<file path=xl/sharedStrings.xml><?xml version="1.0" encoding="utf-8"?>
<sst xmlns="http://schemas.openxmlformats.org/spreadsheetml/2006/main" count="650" uniqueCount="364">
  <si>
    <t>Lembar Penilaian Ahli — Teknik Prompting: Role-Based</t>
  </si>
  <si>
    <t>PANDUAN PENILAIAN KUALITAS REKOMENDASI LLM — AHLI PERTANIAN</t>
  </si>
  <si>
    <t>Lembar Penilaian Ahli — Teknik Prompting: Chain-of-Thought (CoT)</t>
  </si>
  <si>
    <t>Lembar Penilaian Ahli — Teknik Prompting: Zero-Shot</t>
  </si>
  <si>
    <t>Petunjuk: Baca kondisi greenhouse, analisis sensor, dan saran rekomendasi LLM pada setiap baris. Berikan skor pada kolom penilaian (skala 1–5) dan tulis catatan jika perlu.</t>
  </si>
  <si>
    <t>Analisis Perbandingan Teknik Prompting LLM untuk Sistem Konsultasi Smart Greenhouse Bawang Putih Tunggal Berbasis Data IoT</t>
  </si>
  <si>
    <t>Petunjuk: Baca kondisi greenhouse, analisis sensor, dan saran rekomendasi LLM pada setiap baris. Berikan skor pada kolom Penilaian(skala 1–5) dan tulis catatan jika perlu.</t>
  </si>
  <si>
    <t>Petunjuk: Baca kondisi greenhouse, analisis sensor, dan saran rekomendasi LLM pada setiap baris. Berikan skor pada kolom Penilaian (skala 1–5) dan tulis catatan jika perlu.</t>
  </si>
  <si>
    <t>A.  PETUNJUK UMUM</t>
  </si>
  <si>
    <t>No</t>
  </si>
  <si>
    <t>Tanggal</t>
  </si>
  <si>
    <t>1. Baca setiap baris pada sheet Zero-Shot, Role-Based, dan CoT secara seksama.</t>
  </si>
  <si>
    <t>Waktu</t>
  </si>
  <si>
    <t>Kondisi Greenhouse</t>
  </si>
  <si>
    <t>Analisis Sensor (LLM)</t>
  </si>
  <si>
    <t>Saran &amp; Rekomendasi (LLM)</t>
  </si>
  <si>
    <t>Kesesuaian dengan Kondisi Lingkungan</t>
  </si>
  <si>
    <t>Kejelasan Penjelasan
Output</t>
  </si>
  <si>
    <t>Kegunaan Rekomendasi
bagi Petani (Actionability)</t>
  </si>
  <si>
    <t>Ketepatan Tindakan
secara Agronomi</t>
  </si>
  <si>
    <t>2. Setiap baris berisi: kondisi sensor greenhouse, analisis LLM, dan saran rekomendasi yang dihasilkan model.</t>
  </si>
  <si>
    <t>Nilai Akhir</t>
  </si>
  <si>
    <t>06 Jun 2026</t>
  </si>
  <si>
    <t>3. Berikan skor pada kolom kriteria penilaian '(1–5)' untuk setiap output</t>
  </si>
  <si>
    <t>06:00</t>
  </si>
  <si>
    <t>4. Skor akhir per baris adalah RATA-RATA dari keempat kriteria</t>
  </si>
  <si>
    <t>Data tidak tersedia (STB Offline / API Error)</t>
  </si>
  <si>
    <t>5. Baris bertanda 'Data tidak tersedia (STB Offline / API Error)' TIDAK perlu dinilai</t>
  </si>
  <si>
    <t>-</t>
  </si>
  <si>
    <t>6. Penilaian dilakukan secara independen dan objektif berdasarkan kesesuaian agronomi bawang putih tunggal.</t>
  </si>
  <si>
    <t>B.  KONDISI OPTIMAL BAWANG PUTIH TUNGGAL (Referensi untuk Penilaian)</t>
  </si>
  <si>
    <t>Gunakan rentang kondisi berikut sebagai acuan saat menilai ketepatan analisis dan rekomendasi yang dihasilkan oleh LLM.</t>
  </si>
  <si>
    <t>Parameter</t>
  </si>
  <si>
    <t>11:15</t>
  </si>
  <si>
    <t>Suhu    : 32.2 °C
Hum     : 45.0 %
Cahaya  : 13160.5 lux
Soil    : 60.0 %</t>
  </si>
  <si>
    <t>Kondisi Optimal</t>
  </si>
  <si>
    <t>Kondisi Waspada</t>
  </si>
  <si>
    <t>Kondisi Bahaya</t>
  </si>
  <si>
    <t>Satuan</t>
  </si>
  <si>
    <t>[Bahaya] Tanaman bawang putih tunggal saat ini mengalami tekanan lingkungan yang serius. Suhu udara mencapai 32,2°C, jauh di atas ambang batas optimal (18–26°C) dan termasuk kategori berbahaya karena dapat mengganggu proses fisiologis seperti fotosintesis dan transpirasi, bahkan menyebabkan kegagalan pembentukan umbi. Kelembapan udara hanya 45%, di bawah rentang optimal (60–80%), yang dapat mempercepat laju penguapan dan membuat tanaman rentan stres kekeringan meskipun kelembapan tanah masih dalam batas aman (60%). Intensitas cahaya sangat berlebihan (13.160,5 lux), jauh melebihi kebutuhan optimal (400–800 lux), sehingga dapat memicu fotorespirasi dan bahkan luka bakar pada daun. Dengan kombinasi suhu tinggi, kelembapan rendah, dan cahaya ekstrem, tanaman berada dalam kondisi kritis yang memerlukan intervensi secepatnya untuk mencegah kerusakan permanen.</t>
  </si>
  <si>
    <t>Keterangan Tambahan</t>
  </si>
  <si>
    <t>Saran: Segera turunkan suhu udara dengan mengaktifkan sistem pendingin (kabut, kipas, atau kolam evaporasi) hingga mencapai kisaran 20–25°C., Tingkatkan kelembapan udara menjadi 70–80% dengan mengoperasikan humidifier atau melakukan penyemprotan kabut halus (fogging) secara berkala., Pasang naungan (shading net) 75–90% atau atur lamanya pencahayaan buatan untuk mengurangi intensitas cahaya langsung ke tanaman hingga di bawah 800 lux, bisa juga dengan menggelapkan greenhouse sementara saat puncak panas.</t>
  </si>
  <si>
    <t>[Waspada] Suhu udara saat ini 32.2°C melebihi kisaran optimal bawang putih (15-25°C), menyebabkan potensi stres panas. Kelembapan udara 45% rendah, meningkatkan risiko transpirasi berlebih dan dehidrasi. Intensitas cahaya 13160.5 lux masih cukup baik, namun kombinasi suhu tinggi dan kelembapan rendah mengganggu pertumbuhan. Kelembapan tanah 60% masih dalam batas wajar, tetapi perlu dipantau agar tidak turun drastis.</t>
  </si>
  <si>
    <t>[Bahaya] Suhu udara 32.2°C berada di atas rentang optimal (18–26°C) dan masuk kategori berbahaya. Kelembapan udara 45% di bawah rentang optimal (60–80%). Intensitas cahaya 13160.5 lux sangat jauh di atas rentang optimal (400–800 lux). Kelembapan tanah 60% berada dalam rentang optimal (50–70%).</t>
  </si>
  <si>
    <t>Saran: Segera turunkan suhu udara dengan mengaktifkan sistem pendingin atau ventilasi, Tingkatkan kelembapan udara dengan mengaktifkan humidifier atau penyemprotan kabut, Kurangi intensitas cahaya dengan menutup sebagian naungan atau menggunakan kain peneduh</t>
  </si>
  <si>
    <t>Saran: Turunkan suhu greenhouse dengan mengaktifkan kipas ventilasi atau menggunakan shading net untuk mengurangi radiasi langsung., Tingkatkan kelembapan udara dengan misting atau penyiraman ringan pada pagi dan sore hari, hindari siang hari untuk mencegah efek rumah kaca., Pantau kelembapan tanah secara berkala dan lakukan penyiraman jika turun di bawah 50%, pastikan drainase baik untuk mencegah genangan.</t>
  </si>
  <si>
    <t>Suhu Udara</t>
  </si>
  <si>
    <t>18 – 26 °C</t>
  </si>
  <si>
    <t>26 – 30 °C
(mulai stres panas)</t>
  </si>
  <si>
    <t>&gt; 30 °C atau
&lt; 15 °C</t>
  </si>
  <si>
    <t>°C</t>
  </si>
  <si>
    <t>Suhu &gt; 30°C menyebabkan stres panas dan menghambat pembentukan umbi. Suhu &lt; 15°C memperlambat pertumbuhan.</t>
  </si>
  <si>
    <t>Kelembapan Udara</t>
  </si>
  <si>
    <t>60 – 80 %</t>
  </si>
  <si>
    <t>50 – 60 % atau
80 – 90 %</t>
  </si>
  <si>
    <t>&lt; 50 % atau
&gt; 90 %</t>
  </si>
  <si>
    <t>%</t>
  </si>
  <si>
    <t>Kelembapan &lt; 50% meningkatkan transpirasi berlebih. Kelembapan &gt; 90% meningkatkan risiko jamur dan penyakit busuk.</t>
  </si>
  <si>
    <t>12:00</t>
  </si>
  <si>
    <t>Suhu    : 31.4 °C
Hum     : 50.0 %
Cahaya  : 13946.5 lux
Soil    : 78.0 %</t>
  </si>
  <si>
    <t>Kelembapan Tanah</t>
  </si>
  <si>
    <t>50 – 70 %</t>
  </si>
  <si>
    <t>40 – 50 % atau
70 – 80 %</t>
  </si>
  <si>
    <t>[Bahaya] Suhu udara mencapai 31.4°C, melebihi batas optimal (18–26°C) dan sudah memasuki zona berbahaya (&gt;30°C) yang dapat menyebabkan stres panas, penguapan berlebih, dan gangguan metabolisme pada bawang putih tunggal. Intensitas cahaya sangat tinggi (13.946,5 lux) jauh di atas kebutuhan optimal (400–800 lux), berpotensi menyebabkan fotorespirasi dan kerusakan jaringan daun. Kelembapan udara 50% berada di bawah rentang optimal (60–80%), memperparah kehilangan air melalui transpirasi. Kelembapan tanah 78% mendekati batas risiko busuk akar (&gt;80%), sehingga drainase perlu diperhatikan. Kombinasi suhu tinggi, cahaya ekstrem, dan kelembapan udara rendah menempatkan tanaman dalam kondisi bahaya yang memerlukan tindakan segera.</t>
  </si>
  <si>
    <t>&lt; 40 % (kering)
atau &gt; 80 %
(busuk akar)</t>
  </si>
  <si>
    <t>Saran: Segera turunkan suhu greenhouse dengan mengaktifkan sistem pendingin (kabut, kipas, atau evaporative cooling) dan memberikan naungan (shading net) untuk mengurangi intensitas cahaya hingga kisaran 400–800 lux., Tingkatkan kelembapan udara dengan mengoperasikan humidifier atau penyemprotan kabut halus secara berkala untuk mencapai 60–80%., Kurangi frekuensi penyiraman atau perbaiki drainase tanah untuk menurunkan kelembapan tanah dari 78% ke kisaran 50–70%, serta hindari genangan air yang memicu busuk akar.</t>
  </si>
  <si>
    <t>Tanah terlalu kering menghambat penyerapan nutrisi. Tanah terlalu basah (&gt; 80%) menyebabkan busuk akar dan menghambat aerasi.</t>
  </si>
  <si>
    <t>[Bahaya] Suhu udara 31.4 °C berada di atas rentang optimal (18–26 °C) dan masuk kategori berbahaya. Kelembapan udara 50.0% berada di bawah rentang optimal (60–80%). Intensitas cahaya 13946.5 lux sangat jauh di atas rentang optimal (400–800 lux) dan berbahaya bagi tanaman. Kelembapan tanah 78.0% berada di atas rentang optimal (50–70%). Seluruh parameter tidak optimal, dengan suhu dan cahaya yang sangat ekstrem.</t>
  </si>
  <si>
    <t>[Waspada] Suhu udara 31.4°C melebihi kisaran optimal (15-25°C) yang dapat menyebabkan stres panas pada bawang putih tunggal. Kelembapan tanah 78% terlalu tinggi, meningkatkan risiko busuk akar. Kelembapan udara 50% sedikit rendah, namun intensitas cahaya 13946.5 lux sudah mencukupi untuk fotosintesis.</t>
  </si>
  <si>
    <t>Saran: Turunkan suhu dengan meningkatkan ventilasi atau menggunakan shading net untuk mengurangi panas., Kurangi frekuensi penyiraman hingga kelembapan tanah turun ke kisaran 40-60%., Tingkatkan sirkulasi udara di dalam greenhouse untuk membantu penguapan dan mengurangi kelembapan tanah.</t>
  </si>
  <si>
    <t>C  EMPAT KRITERIA PENILAIAN</t>
  </si>
  <si>
    <t>Saran: Segera turunkan suhu greenhouse dengan mengaktifkan sistem pendingin atau ventilasi maksimal, Kurangi intensitas cahaya dengan memasang naungan atau jaring peneduh untuk menurunkan hingga kisaran 400-800 lux, Hentikan penyiraman sementara untuk menurunkan kelembapan tanah ke rentang optimal 50-70%</t>
  </si>
  <si>
    <t>07 Jun 2026</t>
  </si>
  <si>
    <t>Suhu    : 20.0 °C
Hum     : 84.0 %
Cahaya  : 2558.5 lux
Soil    : 72.0 %</t>
  </si>
  <si>
    <t>[Bahaya] Kondisi greenhouse saat ini tidak optimal untuk budidaya bawang putih tunggal. Suhu udara 20°C masih dalam rentang optimal. Namun, kelembaban udara 84% melebihi batas atas 80%, meningkatkan risiko serangan jamur dan penyakit. Intensitas cahaya 2558 lux sangat jauh di atas batas optimal 800 lux, dapat menyebabkan stres panas, daun terbakar, dan penghambatan pertumbuhan. Kelembaban tanah 72% sedikit di atas batas optimal 70%, mendekati risiko busuk akar. Kombinasi kelembaban udara tinggi dan cahaya berlebih merupakan kondisi berbahaya yang perlu segera ditangani.</t>
  </si>
  <si>
    <t>Kriteria</t>
  </si>
  <si>
    <t>Saran: Segera pasang shading net atau atur penutup atap untuk menurunkan intensitas cahaya hingga rentang 400-800 lux., Tingkatkan ventilasi (buka exhaust fan atau jendela) dan gunakan dehumidifier untuk menurunkan kelembaban udara hingga 60-80%., Hentikan penyiraman sementara dan perbaiki drainase untuk menurunkan kelembaban tanah hingga di bawah 70%, serta hindari genangan air.</t>
  </si>
  <si>
    <t>Deskripsi Kriteria</t>
  </si>
  <si>
    <t>Skor 1</t>
  </si>
  <si>
    <t>Skor 2</t>
  </si>
  <si>
    <t>Skor 3</t>
  </si>
  <si>
    <t>Skor 4</t>
  </si>
  <si>
    <t>Skor 5</t>
  </si>
  <si>
    <t>K1</t>
  </si>
  <si>
    <t>Kesesuaian dengan
Kondisi Lingkungan</t>
  </si>
  <si>
    <t>Seberapa tepat output LLM membaca dan
menginterpretasikan data sensor (suhu, kelembapan
udara, cahaya, kelembapan tanah) yang diberikan.
Apakah identifikasi masalah/kondisi sudah benar?</t>
  </si>
  <si>
    <t>Interpretasi kondisi
salah total /
tidak relevan</t>
  </si>
  <si>
    <t>[Aman] Kondisi lingkungan saat ini cukup optimal untuk pertumbuhan bawang putih tunggal. Suhu 20.0°C berada dalam rentang ideal (18-25°C). Kelembapan udara 84% sedikit tinggi namun masih toleran, intensitas cahaya 2558.5 lux cukup baik untuk fotosintesis, dan kelembapan tanah 72% menunjukkan ketersediaan air yang memadai.</t>
  </si>
  <si>
    <t>Sebagian besar
interpretasi tidak
tepat</t>
  </si>
  <si>
    <t>Saran: Pantau kelembapan udara agar tidak melebihi 85% untuk mencegah risiko jamur, tingkatkan sirkulasi udara jika perlu., Pertahankan penyiraman sesuai kebutuhan karena kelembapan tanah masih baik, hindari penyiraman berlebihan., Pastikan pencahayaan tetap stabil, jika intensitas turun di bawah 2000 lux, pertimbangkan penambahan lampu tambahan.</t>
  </si>
  <si>
    <t>Interpretasi cukup
benar tapi ada
kesalahan minor</t>
  </si>
  <si>
    <t>Interpretasi benar
dan sesuai kondisi
sensor</t>
  </si>
  <si>
    <t>[Bahaya] Suhu udara 20.0°C berada dalam rentang optimal (18–26°C). Kelembapan udara 84.0% melebihi batas optimal (60–80%), meningkatkan risiko penyakit jamur. Intensitas cahaya 2558.5 lux sangat tinggi di atas rentang optimal (400–800 lux), dapat menyebabkan stres pada tanaman bawang putih tunggal. Kelembapan tanah 72.0% sedikit di atas rentang optimal (50–70%), berpotensi menyebabkan pembusukan akar. Kombinasi kelembapan udara dan tanah yang tinggi serta cahaya berlebih memberikan tekanan pada tanaman, sehingga status keseluruhan adalah Bahaya.</t>
  </si>
  <si>
    <t>Interpretasi sangat
tepat, akurat, dan
kontekstual</t>
  </si>
  <si>
    <t>Saran: Segera pasang shading net atau atur penutup greenhouse untuk menurunkan intensitas cahaya hingga rentang 400–800 lux, Tingkatkan ventilasi atau gunakan dehumidifier untuk menurunkan kelembapan udara di bawah 80%, Kurangi frekuensi penyiraman atau tingkatkan drainase tanah agar kelembapan tanah turun ke 50–70%</t>
  </si>
  <si>
    <t>Suhu    : 33.4 °C
Hum     : 36.0 %
Cahaya  : 14648.8 lux
Soil    : 73.0 %</t>
  </si>
  <si>
    <t>[Bahaya] Suhu udara saat ini 33.4°C jauh di atas kisaran optimal untuk bawang putih (20-25°C), menyebabkan stres panas. Kelembapan udara 36% sangat rendah, meningkatkan risiko penguapan berlebih dan dehidrasi tanaman. Intensitas cahaya 14648.8 lux masih dalam batas toleransi, namun kelembapan tanah 73% cukup baik. Kombinasi suhu tinggi dan kelembapan rendah memerlukan tindakan segera.</t>
  </si>
  <si>
    <t>K2</t>
  </si>
  <si>
    <t>Saran: Segera turunkan suhu greenhouse dengan meningkatkan ventilasi, menggunakan kipas, atau mengaktifkan sistem pendingin (cooling pad/fogging)., Tingkatkan kelembapan udara dengan penyemprotan kabut halus (misting) atau penggunaan humidifier pada pagi dan sore hari., Pantau kelembapan tanah secara berkala; meskipun saat ini cukup, penyiraman perlu disesuaikan untuk mencegah kekeringan akibat evaporasi tinggi.</t>
  </si>
  <si>
    <t>Kejelasan Penjelasan
(Clarity)</t>
  </si>
  <si>
    <t>Seberapa jelas dan mudah dipahami bahasa yang
digunakan dalam output LLM. Apakah penjelasan
menggunakan istilah yang dapat dimengerti oleh
pengelola greenhouse non-teknis?</t>
  </si>
  <si>
    <t>[Bahaya] Kondisi greenhouse saat ini sangat tidak optimal untuk budidaya bawang putih tunggal. Suhu udara mencapai 33.4°C, jauh di atas batas aman 26°C dan melebihi ambang berbahaya 30°C, yang dapat menyebabkan stres panas, gangguan pertumbuhan, dan penurunan hasil. Kelembapan udara sangat rendah (36%) di bawah kisaran optimal (60–80%), meningkatkan risiko penguapan berlebih dan dehidrasi tanaman. Intensitas cahaya (14.648,8 lux) sangat tinggi dibandingkan kebutuhan optimal (400–800 lux), yang dapat memicu fotorespirasi dan kerusakan jaringan daun. Kelembapan tanah (73%) sudah mendekati batas risiko busuk akar (&gt;80%), menunjukkan tanah mulai terlalu basah. Kombinasi kondisi ini menempatkan tanaman dalam tekanan berat dan memerlukan intervensi segera.</t>
  </si>
  <si>
    <t>Saran: Segera turunkan suhu udara dengan mengaktifkan sistem pendingin (kipas, evaporative cooling, atau kabut air) hingga mencapai di bawah 26°C., Tingkatkan kelembapan udara dengan menggunakan humidifier atau penyemprotan air halus (mist) secara berkala hingga kelembapan mencapai 60–80%., Kurangi intensitas cahaya dengan memasang naungan (shading net) atau atap greenhouse yang dapat memblokir sebagian sinar matahari, targetkan 400–800 lux., Hentikan penyiraman sementara dan perbaiki drainase tanah untuk mencegah kelembapan tanah naik melebihi 80% dan memicu busuk akar.</t>
  </si>
  <si>
    <t>Penjelasan sangat
kacau / tidak dapat
dipahami</t>
  </si>
  <si>
    <t>Penjelasan membingungkan,
banyak istilah
teknis tanpa penjelasan</t>
  </si>
  <si>
    <t>Cukup jelas namun
perlu sedikit
penjelasan tambahan</t>
  </si>
  <si>
    <t>Jelas dan mudah
dipahami oleh
petani</t>
  </si>
  <si>
    <t>Sangat jelas,
terstruktur, dan
mudah diterapkan</t>
  </si>
  <si>
    <t>K3</t>
  </si>
  <si>
    <t>[Bahaya] Suhu udara 33.4°C berada di atas rentang optimal (18–26°C) dan masuk kategori berbahaya. Kelembapan udara 36% sangat rendah di bawah rentang optimal (60–80%). Intensitas cahaya 14648.8 lux jauh di atas rentang optimal (400–800 lux) dan berpotensi menyebabkan stres pada tanaman. Kelembapan tanah 73% sedikit di atas rentang optimal (50–70%). Seluruh parameter menunjukkan kondisi yang tidak sesuai untuk pertumbuhan bawang putih tunggal.</t>
  </si>
  <si>
    <t>Seberapa praktis dan dapat langsung diterapkan
rekomendasi yang diberikan oleh LLM. Apakah saran
yang diberikan spesifik, konkret, dan realistis
dilakukan di lapangan?</t>
  </si>
  <si>
    <t>Saran tidak dapat
diterapkan sama
sekali</t>
  </si>
  <si>
    <t>Saran terlalu umum /
tidak spesifik untuk
kondisi ini</t>
  </si>
  <si>
    <t>Saran: Segera turunkan suhu udara dengan mengaktifkan sistem pendingin atau meningkatkan ventilasi, Tingkatkan kelembapan udara dengan mengaktifkan mist generator atau penyemprotan air, Kurangi intensitas cahaya dengan menutup sebagian naungan atau menggunakan shading net</t>
  </si>
  <si>
    <t>Saran dapat diterapkan
namun kurang
spesifik</t>
  </si>
  <si>
    <t>16:00</t>
  </si>
  <si>
    <t>Saran spesifik dan
dapat langsung
diterapkan</t>
  </si>
  <si>
    <t>Suhu    : 29.5 °C
Hum     : 39.0 %
Cahaya  : 13194.0 lux
Soil    : 73.0 %</t>
  </si>
  <si>
    <t>Saran sangat spesifik,
terukur, dan sangat
mudah diterapkan</t>
  </si>
  <si>
    <t>K4</t>
  </si>
  <si>
    <t>[Bahaya] Tanaman bawang putih tunggal mengalami kondisi lingkungan yang sangat tidak optimal dan berpotensi mengancam pertumbuhan. Suhu 29.5°C mendekati ambang bahaya (&gt;30°C) yang dapat menyebabkan stres panas dan gangguan metabolisme. Kelembapan udara 39% jauh di bawah rentang optimal (60-80%), mengindikasikan udara sangat kering sehingga meningkatkan transpirasi dan risiko dehidrasi. Intensitas cahaya 13194 lux sangat ekstrem (optimal 400-800 lux) dapat menyebabkan fotorespirasi berlebihan dan kerusakan klorofil. Kelembapan tanah 73% sedikit di atas optimal (50-70%), meningkatkan risiko busuk akar jika tidak dikelola. Kombinasi faktor-faktor ini menempatkan tanaman dalam status bahaya dan memerlukan tindakan segera.</t>
  </si>
  <si>
    <t>[Waspada] Suhu udara 29.5°C sedikit di atas kisaran optimal (20-28°C) untuk bawang putih tunggal. Kelembapan udara 39% sangat rendah (ideal 60-70%), dapat menyebabkan stres dan menghambat pertumbuhan. Intensitas cahaya 13194 lux cukup tinggi (ideal 10000-15000 lux), masih dalam batas toleransi. Kelembapan tanah 73% sedikit di atas ideal (60-70%), berisiko menyebabkan busuk akar jika berlangsung lama.</t>
  </si>
  <si>
    <t>Saran: Segera pasang jaring peneduh (shade net) untuk menurunkan intensitas cahaya hingga kisaran 400-800 lux dan mengurangi suhu daun., Aktifkan sistem misting atau semprotkan air bersih ke area sekitar untuk meningkatkan kelembapan udara hingga 60-80%., Kurangi frekuensi penyiraman atau tingkatkan drainase tanah untuk menjaga kelembapan tanah pada 50-70%, hindari genangan air yang dapat menyebabkan busuk akar.</t>
  </si>
  <si>
    <t>Seberapa benar tindakan yang disarankan dari
perspektif ilmu agronomi budidaya bawang putih
tunggal. Apakah rekomendasinya sesuai dengan
standar budidaya yang baik dan benar?</t>
  </si>
  <si>
    <t>Tindakan yang
disarankan salah
atau berbahaya</t>
  </si>
  <si>
    <t>Tindakan sebagian
besar tidak sesuai
kaidah agronomi</t>
  </si>
  <si>
    <t>Tindakan cukup benar
namun ada kekeliruan
minor</t>
  </si>
  <si>
    <t>Saran: Tingkatkan kelembapan udara dengan menyemprotkan air di sekitar tanaman atau menggunakan humidifier hingga mencapai 60-70%., Kurangi frekuensi penyiraman karena kelembapan tanah sudah tinggi, biarkan tanah sedikit mengering sebelum penyiraman berikutnya., Pantau suhu udara dan berikan naungan atau ventilasi tambahan jika suhu terus meningkat di atas 30°C.</t>
  </si>
  <si>
    <t>Tindakan sesuai
kaidah agronomi
bawang putih</t>
  </si>
  <si>
    <t>Tindakan sangat tepat
dan sesuai best
practice agronomi</t>
  </si>
  <si>
    <t>08 Jun 2026</t>
  </si>
  <si>
    <t>[Bahaya] Suhu udara 29.5°C berada di atas rentang optimal (18–26°C) sehingga menyebabkan stres panas. Kelembapan udara 39% sangat rendah dari rentang optimal (60–80%) sehingga berisiko dehidrasi. Intensitas cahaya 13194 lux sangat tinggi dari rentang optimal (400–800 lux) yang dapat mengakibatkan photoinhibition. Kelembapan tanah 73% sedikit di atas rentang optimal (50–70%) yang berpotensi menyebabkan busuk akar. Kombinasi parameter ekstrem ini membahayakan pertumbuhan bawang putih tunggal.</t>
  </si>
  <si>
    <t>Suhu    : 19.3 °C
Hum     : 85.0 %
Cahaya  : 3361.2 lux
Soil    : 71.0 %</t>
  </si>
  <si>
    <t>Saran: Segera turunkan suhu dan tingkatkan kelembapan udara dengan mengaktifkan sistem pendingin (kabut/evaporative cooling) dan ventilasi, Kurangi intensitas cahaya dengan memasang shading net atau peneduh untuk menurunkan paparan langsung, Kurangi frekuensi penyiraman atau drainase tanah untuk mengembalikan kelembapan tanah ke rentang optimal 50–70%</t>
  </si>
  <si>
    <t>[Bahaya] Kondisi greenhouse saat ini menunjukkan beberapa parameter lingkungan yang tidak optimal untuk budidaya bawang putih tunggal. Suhu udara 20°C masih dalam rentang optimal (18–26°C). Namun, kelembapan udara mencapai 84%, melampaui batas atas optimal 80%, yang meningkatkan risiko serangan penyakit jamur seperti busuk putih atau embun tepung. Intensitas cahaya sangat tinggi yaitu 3327,8 lux, jauh di atas rentang optimal 400–800 lux, dapat menyebabkan stres fotooksidatif, daun terbakar, dan menghambat pertumbuhan umbi. Kelembapan tanah 72% sedikit di atas batas optimal 70%, meningkatkan risiko busuk akar meskipun belum kritis. Kombinasi kelembapan udara tinggi dan cahaya berlebih sangat berbahaya bagi tanaman.</t>
  </si>
  <si>
    <t>Saran: Segera aktifkan sistem ventilasi atau gunakan dehumidifier untuk menurunkan kelembapan udara hingga di bawah 80%., Pasang shading net atau atur naungan untuk mengurangi intensitas cahaya hingga kisaran 400–800 lux, misalnya dengan menutup sebagian atap greenhouse., Kurangi frekuensi penyiraman dan perbaiki drainase tanah untuk menurunkan kelembapan tanah ke kisaran 50–70%, serta pantau kondisi akar untuk mendeteksi gejala busuk.</t>
  </si>
  <si>
    <t>[Aman] Suhu udara 20.0°C berada dalam kisaran optimal untuk bawang putih tunggal (15-25°C). Kelembapan udara 84% sedikit tinggi namun masih toleran, intensitas cahaya 3327.8 lux cukup baik untuk pertumbuhan, dan kelembapan tanah 72% ideal (60-80%). Tidak ada indikasi bahaya.</t>
  </si>
  <si>
    <t>Saran: Pantau kelembapan udara agar tidak naik di atas 85% untuk mencegah jamur, tingkatkan ventilasi jika perlu., Pertahankan penyiraman sesuai kebutuhan karena kelembapan tanah sudah optimal., Pastikan pencahayaan tetap stabil, hindari naungan berlebihan.</t>
  </si>
  <si>
    <t>Suhu    : 33.6 °C
Hum     : 39.0 %
Cahaya  : 14782.6 lux
Soil    : 70.0 %</t>
  </si>
  <si>
    <t>[Bahaya] Kondisi lingkungan saat ini sangat tidak optimal untuk budidaya bawang putih tunggal. Suhu udara mencapai 33.6°C, jauh di atas batas optimal (18–26°C) dan sudah melebihi ambang bahaya 30°C, yang dapat menyebabkan stres panas, gangguan pertumbuhan, dan penurunan hasil. Kelembapan udara hanya 39%, sangat rendah dari rentang optimal 60–80%, sehingga meningkatkan laju transpirasi dan risiko kekeringan pada tanaman. Intensitas cahaya 14782.6 lux sangat berlebihan dibandingkan kebutuhan optimal 400–800 lux, yang dapat menyebabkan fotorespirasi, kerusakan klorofil, dan daun terbakar. Kelembapan tanah 70% masih dalam batas optimal (50–70%), namun perlu diwaspadai karena suhu tinggi dan kelembapan udara rendah dapat mempercepat penguapan air tanah.</t>
  </si>
  <si>
    <t>D. CONTOH PENILAIAN (berdasarkan data nyata dari lembar Zero-Shot)</t>
  </si>
  <si>
    <t>[Waspada] Suhu udara 20.0°C optimal (18-26°C). Kelembapan udara 84.0% di atas batas optimal (60-80%). Intensitas cahaya 3327.8 lux jauh di atas rentang optimal (400-800 lux). Kelembapan tanah 72.0% sedikit di atas batas optimal (50-70%).</t>
  </si>
  <si>
    <t>Saran: Segera turunkan suhu udara dengan mengaktifkan sistem pendingin seperti kipas angin, evaporative cooling, atau misting untuk menjaga suhu di bawah 26°C., Tingkatkan kelembapan udara hingga 60–80% dengan menggunakan humidifier atau penyemprotan air halus (misting) secara berkala., Kurangi intensitas cahaya dengan memasang shading net atau penutup greenhouse untuk menurunkan paparan cahaya ke kisaran 400–800 lux, serta pantau suhu dan kelembapan secara real-time.</t>
  </si>
  <si>
    <t>Saran: Turunkan kelembapan udara dengan meningkatkan ventilasi atau menggunakan dehumidifier, Kurangi intensitas cahaya dengan menaikkan shading net atau mengurangi durasi pencahayaan buatan, Pantau kelembapan tanah, kurangi penyiraman jika perlu hingga mencapai rentang optimal</t>
  </si>
  <si>
    <t>09 Jun 2026</t>
  </si>
  <si>
    <t>14:11</t>
  </si>
  <si>
    <t>Suhu    : 32.5 °C
Hum     : 40.0 %
Cahaya  : 13595.3 lux
Soil    : 68.0 %</t>
  </si>
  <si>
    <t>[Bahaya] Kondisi greenhouse saat ini sangat tidak optimal untuk budidaya bawang putih tunggal. Suhu udara mencapai 32,5°C yang sudah melebihi batas aman (&gt;30°C) dan dapat menyebabkan stres panas, menghambat pertumbuhan, serta meningkatkan risiko kegagalan panen. Kelembapan udara hanya 40% jauh di bawah rentang optimal (60-80%), sehingga menyebabkan transpirasi berlebihan dan dehidrasi pada tanaman. Intensitas cahaya sangat tinggi (13.595,3 lux) dibandingkan kebutuhan optimal (400-800 lux), yang dapat mengakibatkan photoinhibition, daun terbakar, dan penurunan fotosintesis. Kelembapan tanah 68% masih dalam batas normal (50-70%) meskipun mendekati batas atas; perlu diwaspadai agar tidak meningkat lebih lanjut karena risiko busuk akar pada suhu tinggi.</t>
  </si>
  <si>
    <t>Saran: Segera turunkan suhu udara dengan mengaktifkan sistem pendingin (fan, evaporative cooling, atau AC) hingga mencapai kisaran 18-26°C., Tingkatkan kelembapan udara dengan menggunakan mist generator atau humidifier, targetkan kelembapan 60-80%., Kurangi intensitas cahaya dengan memasang shading net (50-70% naungan) atau mengatur blinds, agar cahaya turun ke kisaran 400-800 lux., Monitor kelembapan tanah secara ketat; jika melebihi 70%, kurangi frekuensi penyiraman dan tingkatkan aerasi untuk mencegah busuk akar.</t>
  </si>
  <si>
    <t>Kondisi Sensor</t>
  </si>
  <si>
    <t>Output LLM (ringkasan)</t>
  </si>
  <si>
    <t>Skor Akhir</t>
  </si>
  <si>
    <t>10 Jun 2026</t>
  </si>
  <si>
    <t>[Waspada] Suhu udara 33.6°C melebihi batas optimal (15-25°C) untuk bawang putih tunggal, menyebabkan stres panas. Kelembapan udara 39% sangat rendah (ideal 50-70%), meningkatkan risiko penguapan dan dehidrasi. Intensitas cahaya 14782.6 lux masih dalam rentang baik (10.000-20.000 lux). Kelembapan tanah 70% cukup optimal (60-80%), sehingga kondisi tanah masih mendukung. Namun kombinasi suhu tinggi dan kelembapan udara rendah perlu diwaspadai.</t>
  </si>
  <si>
    <t>Suhu    : 19.1 °C
Hum     : 84.0 %
Cahaya  : 3043.5 lux
Soil    : 64.0 %</t>
  </si>
  <si>
    <t>Saran: Turunkan suhu dengan meningkatkan ventilasi atau mengaktifkan sistem pendingin (kipas, evaporative cooling) untuk mencapai kisaran 20-25°C, Tingkatkan kelembapan udara dengan misting atau pelembab ultrasonik hingga mencapai 50-70%, Pantau kelembapan tanah lebih sering; penyiraman tidak perlu ditambah saat ini karena 70% masih ideal, tetapi antisipasi jika penguapan meningkat</t>
  </si>
  <si>
    <t>2</t>
  </si>
  <si>
    <t>[Bahaya] Suhu udara 33.6°C sangat tinggi di atas rentang optimal (18–26°C), berada pada level berbahaya dan berpotensi menyebabkan stres panas pada tanaman. Kelembapan udara 39.0% sangat rendah di bawah rentang optimal (60–80%), meningkatkan risiko dehidrasi dan mengganggu transpirasi. Intensitas cahaya 14782.6 lux sangat berlebihan dibandingkan rentang optimal bawang putih tunggal (400–800 lux), dapat menyebabkan kerusakan jaringan daun dan menghambat pertumbuhan. Kelembapan tanah 70.0% berada pada batas atas rentang optimal (50–70%), masih cukup baik. Kombinasi suhu tinggi, kelembapan udara rendah, dan cahaya berlebih menciptakan kondisi berbahaya bagi tanaman.</t>
  </si>
  <si>
    <t>[Bahaya] Intensitas cahaya saat ini 3043.5 lux, sangat jauh di atas kisaran optimal 400–800 lux. Kondisi ini dapat menyebabkan stres fotooksidatif, daun terbakar, dan penurunan kualitas umbi. Kelembapan udara 84% juga melebihi batas optimal (60–80%), meningkatkan risiko penyakit jamur seperti botrytis dan fusarium. Suhu udara 19.1°C dan kelembapan tanah 64% masih dalam rentang aman, namun kondisi cahaya dan kelembapan udara yang ekstrem memerlukan tindakan segera.</t>
  </si>
  <si>
    <t>Saran: Segera pasang shading net atau turunkan naungan untuk mengurangi intensitas cahaya hingga kisaran 400–800 lux., Aktifkan exhaust fan atau buka ventilasi greenhouse untuk menurunkan kelembapan udara di bawah 80%., Hentikan penyiraman sementara dan pantau kelembapan tanah agar tidak naik, karena kelembapan udara tinggi dapat menghambat penguapan.</t>
  </si>
  <si>
    <t>Saran: Segera turunkan suhu greenhouse dengan mengaktifkan sistem pendingin (kabut, kipas, atau evaporative cooling) hingga mencapai 18–26°C, Tingkatkan kelembapan udara dengan mengoperasikan humidifier atau melakukan penyemprotan kabut air secara berkala untuk mencapai 60–80%, Kurangi intensitas cahaya dengan memasang shading net (naungan) atau menyesuaikan jadwal penyinaran buatan agar tidak melebihi 800 lux</t>
  </si>
  <si>
    <t>Suhu 32.2°C, Hum 45%, Cahaya 13161 lux, Soil 60%</t>
  </si>
  <si>
    <t>[Waspada] Suhu melebihi optimal, hum rendah, cahaya cukup, soil wajar. Saran: kipas, misting, pantau kelembapan.</t>
  </si>
  <si>
    <t>4</t>
  </si>
  <si>
    <t>3</t>
  </si>
  <si>
    <t>11 Jun 2026</t>
  </si>
  <si>
    <t>Suhu    : 19.2 °C
Hum     : 90.0 %
Cahaya  : 1839.5 lux
Soil    : 64.0 %</t>
  </si>
  <si>
    <t>[Waspada] Suhu udara 19.2°C masih dalam rentang optimal (18-26°C). Kelembapan udara 90% melebihi batas optimal (60-80%), meningkatkan risiko serangan jamur dan penyakit pada bawang putih tunggal. Intensitas cahaya 1839.5 lux sangat tinggi di atas rentang optimal (400-800 lux), dapat menyebabkan stres pada tanaman, daun terbakar, dan penurunan kualitas umbi. Kelembapan tanah 64% masih dalam rentang yang baik (50-70%). Kondisi secara keseluruhan memerlukan penanganan segera untuk mengurangi kelembapan udara dan intensitas cahaya.</t>
  </si>
  <si>
    <t>6</t>
  </si>
  <si>
    <t>Saran: Aktifkan exhaust fan atau ventilasi untuk menurunkan kelembapan udara hingga 60-80%., Pasang jaring peneduh atau atur penutup greenhouse untuk mengurangi intensitas cahaya hingga maksimal 800 lux., Pantau kelembapan tanah secara berkala agar tetap di kisaran optimal dan hindari penyiraman berlebih karena udara lembap.</t>
  </si>
  <si>
    <t>Suhu 20.0°C, Hum 84%, Cahaya 2559 lux, Soil 72%</t>
  </si>
  <si>
    <t>[Waspada] Suhu udara 32.5°C melebihi batas optimal (20-30°C) untuk bawang putih tunggal, kelembapan udara 40% di bawah rentang ideal (50-70%), intensitas cahaya 13595.3 lux masih dalam batas toleransi (10.000-20.000 lux), dan kelembapan tanah 68% berada dalam rentang optimal (60-80%). Kondisi suhu dan kelembapan udara perlu diwaspadai karena dapat memicu stres pada tanaman.</t>
  </si>
  <si>
    <t>[Aman] Kondisi cukup optimal. Pantau hum agar &lt;85%, pertahankan penyiraman.</t>
  </si>
  <si>
    <t>5</t>
  </si>
  <si>
    <t>Saran: Turunkan suhu greenhouse dengan mengaktifkan sistem pendingin atau meningkatkan ventilasi udara, Tingkatkan kelembapan udara dengan mengoperasikan mist generator atau penyemprotan air halus di sekitar tanaman, Pantau kelembapan tanah secara berkala dan lakukan penyiraman jika turun di bawah 60%</t>
  </si>
  <si>
    <t>10:04</t>
  </si>
  <si>
    <t>[Bahaya] Suhu udara 32.5°C berada di atas rentang optimal (18-26°C), berbahaya bagi pertumbuhan bawang putih. Kelembapan udara 40% di bawah optimal (60-80%), menyebabkan stres kekeringan. Intensitas cahaya 13595.3 lux sangat jauh di atas optimal (400-800 lux), berisiko menyebabkan fotorespirasi dan kerusakan daun. Kelembapan tanah 68% masih dalam rentang optimal (50-70%), namun perlu dipantau agar tidak meningkat. Secara keseluruhan, tiga parameter utama tidak sesuai, sehingga status bahaya.</t>
  </si>
  <si>
    <t>Saran: Segera aktifkan sistem pendingin atau naungan untuk menurunkan suhu udara hingga 18-26°C, Pasang shading net atau atur pencahayaan untuk mengurangi intensitas cahaya hingga 400-800 lux, Tingkatkan kelembapan udara dengan misting atau humidifier hingga mencapai 60-80%</t>
  </si>
  <si>
    <t>Suhu    : 32.9 °C
Hum     : 40.0 %
Cahaya  : 14682.3 lux
Soil    : 64.0 %</t>
  </si>
  <si>
    <t>7</t>
  </si>
  <si>
    <t>Suhu 33.4°C, Hum 36%, Cahaya 14649 lux, Soil 73%</t>
  </si>
  <si>
    <t>[Bahaya] Suhu tinggi + hum sangat rendah + cahaya ekstrem. Saran: pendingin, humidifier, pantau tanah.</t>
  </si>
  <si>
    <t>[Bahaya] Kondisi greenhouse saat ini sangat tidak optimal untuk budidaya bawang putih tunggal. Suhu udara mencapai 32.9°C, melampaui ambang batas aman 30°C, yang dapat menyebabkan stres panas, gangguan metabolisme, dan penurunan hasil. Kelembapan udara hanya 40%, jauh di bawah kisaran optimal 60–80%, sehingga meningkatkan risiko dehidrasi dan serangan hama seperti tungau. Intensitas cahaya 14682.3 lux sangat berlebihan (optimal 400–800 lux), yang dapat memicu fotorespirasi, kerusakan klorofil, dan daun terbakar. Kelembapan tanah 64% masih dalam rentang optimal, namun kombinasi suhu tinggi dan kelembapan udara rendah mempercepat evaporasi, sehingga perlu diwaspadai.</t>
  </si>
  <si>
    <t>Saran: Segera aktifkan sistem pendingin (kabut, kipas, atau evaporative cooling) untuk menurunkan suhu ruangan di bawah 26°C., Pasang shading net atau tirai untuk mengurangi intensitas cahaya hingga kisaran 400–800 lux, terutama pada siang hari., Tingkatkan kelembapan udara dengan mister atau humidifier hingga mencapai 60–80%, dan pantau kelembapan tanah untuk menjaga irigasi tetap optimal (50–70%).</t>
  </si>
  <si>
    <t>10:36</t>
  </si>
  <si>
    <t>Suhu    : 35.2 °C
Hum     : 35.0 %
Cahaya  : 2270.2 lux
Soil    : 64.0 %</t>
  </si>
  <si>
    <t>[Bahaya] Suhu udara 19.1 °C berada dalam rentang optimal (18–26 °C). Kelembapan udara 84.0 % melebihi batas optimal (60–80 %), menunjukkan kondisi terlalu lembab. Intensitas cahaya 3043.5 lux sangat jauh di atas rentang optimal (400–800 lux), berpotensi menyebabkan stres dan kerusakan pada tanaman. Kelembapan tanah 64.0 % berada dalam rentang optimal (50–70 %). Dengan adanya dua parameter yang tidak optimal, terutama intensitas cahaya yang ekstrem, status keseluruhan adalah Bahaya.</t>
  </si>
  <si>
    <t>[Bahaya] Suhu udara sangat tinggi (35.2°C) melebihi ambang batas optimal (18-26°C) dan telah melampaui batas bahaya (&gt;30°C), yang dapat menyebabkan stres panas, penguapan berlebih, dan menghambat pertumbuhan umbi. Kelembapan udara sangat rendah (35%) jauh di bawah rentang ideal (60-80%), memperparah transpirasi dan risiko dehidrasi. Intensitas cahaya sangat tinggi (2270.2 lux) di atas ambang terik (&gt;1500 lux), berpotensi meningkatkan suhu daun dan menyebabkan fotoinhibisi. Kelembapan tanah (64%) masih dalam kisaran optimal (50-70%), namun kondisi udara yang ekstrem dapat mempercepat pengeringan tanah. Tanaman berada dalam tekanan lingkungan berat yang memerlukan intervensi segera.</t>
  </si>
  <si>
    <t>Saran: Segera aktifkan sistem peneduh (shading net) untuk menurunkan intensitas cahaya dan suhu di dalam greenhouse., Tingkatkan kelembapan udara dengan mengoperasikan kabut (fogging) atau penyemprotan air halus secara berkala hingga kelembapan mendekati 60%., Pastikan ventilasi maksimal (buka atap atau dinding greenhouse) untuk sirkulasi udara dan membantu menurunkan suhu.</t>
  </si>
  <si>
    <t>Saran: Segera berikan naungan atau atur tirai untuk menurunkan intensitas cahaya hingga rentang 400–800 lux., Tingkatkan ventilasi atau nyalakan exhaust fan untuk mengurangi kelembapan udara hingga 60–80 %., Pantau suhu dan kelembapan tanah secara berkala untuk memastikan tetap dalam kondisi optimal.</t>
  </si>
  <si>
    <t>12 Jun 2026</t>
  </si>
  <si>
    <t>Suhu    : 20.4 °C
Hum     : 79.0 %
Cahaya  : 0.0 lux
Soil    : 77.0 %</t>
  </si>
  <si>
    <t>[Bahaya] Suhu udara 20.4°C berada dalam rentang optimal 18–26°C, aman. Kelembapan udara 79% masih dalam batas optimal 60–80%, namun mendekati ambang atas sehingga perlu diwaspadai. Intensitas cahaya 0.0 lux sangat kritis dan jauh di bawah kebutuhan minimal 400 lux, menyebabkan tanaman tidak dapat berfotosintesis secara normal, menghambat pertumbuhan, dan berisiko menyebabkan etiolasi serta penurunan hasil. Kelembapan tanah 77% melampaui batas optimal 50–70%, meningkatkan risiko busuk akar dan penyakit jamur akibat genangan.</t>
  </si>
  <si>
    <t>[Waspada] Suhu udara 19.1°C masih dalam kisaran optimal pertumbuhan bawang putih (15-25°C), namun kelembapan udara 84% tergolong tinggi yang dapat memicu penyakit jamur seperti busuk putih. Intensitas cahaya 3,043.5 lux tergolong rendah (kebutuhan bawang putih sekitar 10,000-15,000 lux), sehingga dapat menghambat fotosintesis dan pertumbuhan umbi. Kelembapan tanah 64% sedikit kering dari kisaran ideal (70-80%), perlu peningkatan kelembapan tanah untuk mendukung pembentukan umbi yang optimal.</t>
  </si>
  <si>
    <t>[Waspada] Suhu udara 19.2 °C berada dalam rentang optimal (18-26 °C). Kelembapan udara 90.0% melebihi batas optimal (60-80%), masuk kategori waspada karena berisiko memicu penyakit jamur. Intensitas cahaya 1839.5 lux jauh di atas rentang optimal (400-800 lux), berbahaya bagi pertumbuhan bawang putih tunggal. Kelembapan tanah 64.0% berada dalam rentang optimal (50-70%).</t>
  </si>
  <si>
    <t>Saran: Segera aktifkan lampu tanam atau buka tirai greenhouse untuk meningkatkan intensitas cahaya hingga mencapai 400–800 lux., Hentikan penyiraman sementara dan tingkatkan sirkulasi udara untuk menurunkan kelembapan tanah ke kisaran 50–70%; perbaiki drainase jika perlu., Pantau kelembapan udara, jika terus naik mendekati 80%, aktifkan ventilasi atau dehumidifier untuk mencegah serangan jamur.</t>
  </si>
  <si>
    <t>Saran: Tingkatkan pencahayaan dengan lampu LED atau buka penutup greenhouse untuk mencapai intensitas minimal 10,000 lux., Kurangi kelembapan udara dengan meningkatkan ventilasi (buka jendela atau gunakan kipas) untuk mencegah serangan jamur., Lakukan irigasi ringan untuk meningkatkan kelembapan tanah hingga kisaran 70-80%, hindari genangan air.</t>
  </si>
  <si>
    <t>Saran: Segera kurangi intensitas cahaya dengan menutup greenhouse atau menggunakan shading net untuk menurunkan cahaya ke rentang optimal., Tingkatkan ventilasi atau gunakan dehumidifier untuk menurunkan kelembapan udara hingga 60-80%., Pantau suhu secara berkala karena kelembapan tinggi dan cahaya berlebih dapat memicu fluktuasi suhu.</t>
  </si>
  <si>
    <t>Suhu    : 32.8 °C
Hum     : 35.0 %
Cahaya  : 1813.4 lux
Soil    : 82.0 %</t>
  </si>
  <si>
    <t>[Bahaya] Kondisi saat ini sangat kritis bagi tanaman bawang putih tunggal. Suhu udara mencapai 32.8°C, jauh di atas batas aman maksimal 26°C dan sudah memasuki zona berbahaya (&gt;30°C), yang dapat menghambat pertumbuhan dan memicu stress panas. Kelembapan udara hanya 35%, sangat kering dibandingkan rentang optimal 60-80%, menyebabkan penguapan berlebihan dan dehidrasi. Kelembapan tanah 82% melebihi batas optimal 50-70%, mengindikasikan risiko busuk akar akibat genangan. Intensitas cahaya sangat tinggi (1813.4 lux) di atas ambang toleransi &gt;1500 lux, berpotensi meningkatkan suhu lebih lanjut dan membakar daun. Kombinasi suhu panas, udara kering, tanah basah, dan cahaya terik sangat membahayakan tanaman.</t>
  </si>
  <si>
    <t>Saran: Segera aktifkan sistem pendingin (kipas/AC) atau buka ventilasi untuk menurunkan suhu udara ke kisaran 18-26°C., Gunakan pengabut (mist maker) atau semprotkan air halus di sekitar area tanam untuk meningkatkan kelembapan udara hingga 60-80%., Hentikan penyiraman sementara dan tingkatkan drainase tanah (misalnya dengan aerasi atau penambahan bahan organik) untuk mengurangi kelembapan tanah di bawah 70% dan mencegah busuk akar., Pasang jaring peneduh (shade net) atau alihkan tanaman ke area teduh untuk mengurangi intensitas cahaya langsung di bawah 1500 lux dan menekan risiko suhu naik.</t>
  </si>
  <si>
    <t>Suhu    : 30.1 °C
Hum     : 50.0 %
Cahaya  : 938.3 lux
Soil    : 82.0 %</t>
  </si>
  <si>
    <t>[Bahaya] Suhu udara mencapai 30.1°C, melampaui batas aman 26°C dan mendekati ambang bahaya &gt;30°C, menyebabkan stres panas yang menghambat pertumbuhan umbi dan meningkatkan risiko kegagalan panen. Kelembapan tanah 82% melebihi batas optimal 70%, mengindikasikan kondisi jenuh air yang sangat rentan menyebabkan busuk akar dan penyakit jamur. Kelembapan udara 50% di bawah rentang ideal 60-80%, mempercepat transpirasi dan memperparah stres tanaman. Intensitas cahaya 938.3 lux berada dalam kisaran cerah normal (401-1500 lux) sehingga tidak menjadi masalah utama.</t>
  </si>
  <si>
    <t>Saran: Segera aktifkan sistem ventilasi, kipas sirkulasi, atau pendingin evaporatif untuk menurunkan suhu udara hingga di bawah 26°C., Hentikan penyiraman sementara dan tingkatkan drainase tanah (misal dengan aerasi atau penambahan bahan organik) untuk mengurangi kelembapan tanah hingga kisaran 50-70%., Tingkatkan kelembapan udara dengan mengoperasikan mist generator atau penyemprotan air halus di sekitar tanaman, target kelembapan 60-80%.</t>
  </si>
  <si>
    <t>[Bahaya] Suhu udara 32.9°C berada di atas rentang optimal (18–26°C) dan termasuk berbahaya. Kelembapan udara 40% di bawah rentang optimal (60–80%), masuk kategori waspada. Intensitas cahaya 14682.3 lux sangat jauh di atas rentang optimal (400–800 lux), berbahaya bagi tanaman. Kelembapan tanah 64% berada dalam rentang optimal (50–70%). Dengan dua parameter berbahaya dan satu waspada, status keseluruhan adalah Bahaya.</t>
  </si>
  <si>
    <t>[Aman] Suhu udara 19.2°C berada dalam kisaran optimal untuk bawang putih tunggal (15-25°C). Kelembapan udara 90% cukup tinggi tetapi masih dapat ditoleransi, meskipun perlu diwaspadai risiko jamur. Intensitas cahaya 1839.5 lux tergolong rendah untuk pertumbuhan optimal (kebutuhan minimal 10.000-20.000 lux), sehingga dapat menghambat fotosintesis. Kelembapan tanah 64% berada dalam rentang ideal (60-70%) untuk pertumbuhan umbi.</t>
  </si>
  <si>
    <t>Saran: Tingkatkan intensitas cahaya dengan menambah lampu LED atau memindahkan tanaman ke area yang lebih terang untuk mencapai minimal 10.000 lux., Kurangi kelembapan udara dengan meningkatkan sirkulasi udara menggunakan kipas atau membuka ventilasi untuk mencegah serangan jamur., Pertahankan kelembapan tanah pada level saat ini dengan penyiraman sesuai kebutuhan, hindari genangan air.</t>
  </si>
  <si>
    <t>Saran: Segera turunkan suhu udara dengan mengaktifkan sistem pendingin atau meningkatkan ventilasi, Kurangi intensitas cahaya dengan memasang naungan atau jaring peneduh, Tingkatkan kelembapan udara dengan menggunakan mist generator atau penyemprotan air secara berkala</t>
  </si>
  <si>
    <t>13 Jun 2026</t>
  </si>
  <si>
    <t>Suhu    : 26.8 °C
Hum     : 66.0 %
Cahaya  : 829.7 lux
Soil    : 83.0 %</t>
  </si>
  <si>
    <t>[Waspada] Kondisi lingkungan saat ini menunjukkan kelembapan tanah (83.0%) melebihi ambang optimal (50-70%) sehingga berisiko tinggi menyebabkan busuk akar dan penyakit fungal. Suhu udara 26.8°C berada sedikit di atas rentang optimal (18-26°C), namun belum mencapai level berbahaya (&gt;30°C). Intensitas cahaya 829.7 lux termasuk dalam kategori cerah normal yang aman untuk fotosintesis. Kelembapan udara 66% masih dalam rentang optimal.</t>
  </si>
  <si>
    <t>Saran: Segera hentikan penyiraman dan tingkatkan drainase tanah (misalnya dengan membuat saluran atau menambahkan bahan organik kasar) untuk menurunkan kelembapan tanah hingga berada di bawah 70%., Aktifkan sistem ventilasi atau kipas angin untuk meningkatkan sirkulasi udara dan mengurangi risiko busuk akar akibat kelembapan tinggi., Pantau suhu udara secara berkala; jika suhu terus naik mendekati 30°C, pasang peneduh atau semprot kabut air halus untuk menurunkan suhu tanpa menambah kelembapan tanah secara berlebihan.</t>
  </si>
  <si>
    <t>[Waspada] Suhu udara 32.9°C melebihi kisaran optimal bawang putih tunggal (20-30°C), kelembapan udara 40% di bawah ideal (50-70%), intensitas cahaya 14682.3 lux sangat tinggi (ideal 10000-15000 lux), dan kelembapan tanah 64% masih dalam batas normal (50-70%). Kondisi ini berpotensi menyebabkan stres panas dan dehidrasi pada tanaman.</t>
  </si>
  <si>
    <t>Saran: Turunkan suhu dengan mengaktifkan sistem pendingin atau kipas sirkulasi udara, Tingkatkan kelembapan udara dengan mengaktifkan mist maker atau penyemprotan air halus, Kurangi intensitas cahaya dengan menutup sebagian naungan atau menggunakan shading net</t>
  </si>
  <si>
    <t>Suhu    : 26.2 °C
Hum     : 73.0 %
Cahaya  : 334.4 lux
Soil    : 88.0 %</t>
  </si>
  <si>
    <t>[Bahaya] Suhu udara 35.2 °C sangat jauh di atas rentang optimal (18–26 °C) dan berada pada level berbahaya. Kelembapan udara 35.0 % sangat rendah dari rentang optimal (60–80 %), dapat menyebabkan stres pada tanaman. Intensitas cahaya 2270.2 lux tergolong terik berlebihan (di atas 1500 lux) yang dapat membakar daun. Kelembapan tanah 64.0 % masih dalam rentang optimal (50–70 %).</t>
  </si>
  <si>
    <t>[Bahaya] Suhu udara 26.2°C berada di batas atas optimal (18–26°C) dan perlu diwaspadai karena mendekati ambang bahaya &gt;30°C. Kelembapan udara 73% masih dalam rentang ideal (60–80%). Namun, kelembapan tanah mencapai 88%, jauh di atas batas aman 70%, sehingga risiko busuk akar sangat tinggi akibat kondisi terlalu basah. Intensitas cahaya 334.4 lux tergolong remang/mendung (51–400 lux), yang belum optimal untuk fotosintesis bawang putih tunggal; diperlukan suplementasi cahaya UV buatan.</t>
  </si>
  <si>
    <t>Saran: Turunkan suhu greenhouse dengan mengaktifkan sistem pendingin (kabut, kipas, atau naungan) segera., Tingkatkan kelembapan udara dengan pengabutan (fogging) atau penyemprotan air secara berkala., Kurangi intensitas cahaya dengan memasang paranet atau shading net untuk mencegah sengatan langsung.</t>
  </si>
  <si>
    <t>Saran: Hentikan penyiraman segera dan tingkatkan drainase atau aerasi tanah untuk mengurangi kelembapan tanah di bawah 70%., Pasang lampu UV tambahan untuk meningkatkan intensitas cahaya ke rentang cerah normal (401–1500 lux) guna mendukung fotosintesis., Pantau suhu secara berkala dan aktifkan sistem ventilasi atau kipas jika suhu naik di atas 28°C untuk mencegah stres panas.</t>
  </si>
  <si>
    <t>[Bahaya] Suhu udara sangat tinggi (35.2°C) melebihi kisaran optimal bawang putih (15-25°C), dan kelembapan udara sangat rendah (35%) di bawah kebutuhan ideal (60-70%). Kondisi ini dapat menyebabkan stres panas, penguapan berlebihan, dan gangguan pertumbuhan. Kelembapan tanah masih cukup baik (64%), tetapi intensitas cahaya sangat terik (2270 lux) yang dapat memperparah stres panas.</t>
  </si>
  <si>
    <t>14 Jun 2026</t>
  </si>
  <si>
    <t>Suhu    : 23.0 °C
Hum     : 80.0 %
Cahaya  : 0.0 lux
Soil    : 85.0 %</t>
  </si>
  <si>
    <t>Saran: Segera aktifkan sistem pendingin (exhaust fan, evaporative cooling) atau buka ventilasi untuk menurunkan suhu., Tingkatkan kelembapan udara dengan misting atau penyemprotan air halus di sekitar tanaman., Pasang shading net atau naungan untuk mengurangi intensitas cahaya langsung yang berlebihan., Periksa dan atur jadwal penyiraman tanah untuk menjaga kelembapan tanah tetap optimal, hindari kekeringan.</t>
  </si>
  <si>
    <t>[Waspada] Kondisi lingkungan greenhouse saat ini menunjukkan suhu udara dalam rentang optimal (23.1°C) sehingga tidak menjadi masalah. Namun, kelembapan udara (84%) dan kelembapan tanah (83%) berada di atas ambang batas optimal (60-80% dan 50-70%). Kelembapan tinggi meningkatkan risiko serangan jamur, busuk akar, dan penyakit tanaman lainnya. Intensitas cahaya 0 lux mengindikasikan kondisi gelap (malam hari atau sensor tertutup), sehingga tidak ada tekanan cahaya saat ini, tetapi perlu diperhatikan saat siang hari.</t>
  </si>
  <si>
    <t>Saran: Kurangi frekuensi dan volume penyiraman untuk menurunkan kelembapan tanah di bawah 70%., Aktifkan sistem ventilasi atau buka greenhouse untuk meningkatkan sirkulasi udara dan mengurangi kelembapan udara., Pantau kondisi tanaman secara berkala, terutama gejala busuk akar atau infeksi jamur, dan siapkan fungisida jika diperlukan.</t>
  </si>
  <si>
    <t>[Waspada] Suhu udara 20.4 °C berada dalam rentang optimal (18–26 °C). Kelembapan udara 79.0 % berada di batas atas optimal (60–80 %), mendekati waspada. Intensitas cahaya 0.0 lux sangat jauh di bawah rentang optimal (400–800 lux), menunjukkan kondisi gelap yang berbahaya bagi fotosintesis. Kelembapan tanah 77.0 % melebihi rentang optimal (50–70 %), mengindikasikan tanah terlalu basah yang dapat menyebabkan busuk akar. Secara keseluruhan, terdapat dua parameter (cahaya dan kelembapan tanah) yang tidak optimal, sehingga status waspada.</t>
  </si>
  <si>
    <t>Suhu    : 29.6 °C
Hum     : 55.0 %
Cahaya  : 911.0 lux
Soil    : 88.0 %</t>
  </si>
  <si>
    <t>[Bahaya] Suhu udara 29.6°C mendekati batas berbahaya (&gt;30°C) dan berada di atas rentang optimal (18-26°C), yang dapat menyebabkan stres panas pada tanaman. Kelembapan udara 55% di bawah optimal (60-80%), meningkatkan risiko transpirasi berlebih dan kekeringan daun. Kelembapan tanah 88% sangat tinggi, melebihi batas aman (50-70%), sehingga berpotensi menyebabkan busuk akar dan penyakit jamur. Intensitas cahaya 911 lux berada dalam kisaran cerah normal (401-1500 lux) dan mendukung fotosintesis, namun kombinasi suhu tinggi dan kelembapan tanah berlebih menjadi ancaman serius bagi pertumbuhan bawang putih tunggal.</t>
  </si>
  <si>
    <t>Saran: Segera nyalakan lampu tambahan untuk meningkatkan intensitas cahaya ke rentang optimal 400–800 lux., Kurangi frekuensi penyiraman atau tingkatkan drainase untuk menurunkan kelembapan tanah ke 50–70 %., Pantau kelembapan udara secara berkala karena mendekati batas atas, dan tingkatkan sirkulasi udara jika perlu.</t>
  </si>
  <si>
    <t>Saran: Segera kurangi frekuensi dan volume penyiraman untuk menurunkan kelembapan tanah hingga di bawah 70%, serta perbaiki drainase jika perlu., Tingkatkan sirkulasi udara dengan membuka ventilasi atau menyalakan kipas untuk menurunkan suhu dan kelembapan udara., Lakukan pengabutan (misting) ringan pada pagi atau sore hari untuk meningkatkan kelembapan udara tanpa membasahi tanah secara berlebihan.</t>
  </si>
  <si>
    <t>[Waspada] Suhu udara 20.4°C berada dalam rentang optimal untuk bawang putih tunggal (15-25°C). Kelembapan tanah 77% juga ideal (60-80%). Namun, kelembapan udara 79% melebihi batas ideal (50-70%), yang dapat meningkatkan risiko penyakit jamur. Intensitas cahaya 0 lux menunjukkan kondisi gelap, kemungkinan malam hari; jika ini terjadi pada siang hari, tanaman kekurangan cahaya yang diperlukan untuk pertumbuhan.</t>
  </si>
  <si>
    <t>Saran: Tingkatkan sirkulasi udara atau gunakan dehumidifier untuk menurunkan kelembapan udara di bawah 70%., Pastikan tanaman mendapat cahaya matahari langsung minimal 6-8 jam per hari; jika perlu, gunakan lampu pertumbuhan LED., Periksa drainase tanah dan hindari genangan air untuk mencegah busuk akar.</t>
  </si>
  <si>
    <t>15 Jun 2026</t>
  </si>
  <si>
    <t>Suhu    : 21.3 °C
Hum     : 88.0 %
Cahaya  : 23.1 lux
Soil    : 88.0 %</t>
  </si>
  <si>
    <t>[Waspada] Kondisi suhu udara (21.3°C) masih dalam rentang optimal untuk bawang putih tunggal. Namun, kelembapan udara (88%) dan kelembapan tanah (88%) berada di atas batas optimal (60-80% dan 50-70%). Kelembapan tanah yang terlalu tinggi (&gt;80%) meningkatkan risiko busuk akar dan penyakit jamur. Intensitas cahaya (23.1 lux) termasuk kategori gelap/malam, yang normal untuk fase dorman atau malam hari, namun jika berlangsung terus-menerus dapat menghambat fotosintesis. Secara keseluruhan, kondisi ini memerlukan perhatian segera untuk mengurangi kelembapan.</t>
  </si>
  <si>
    <t>Saran: Kurangi frekuensi penyiraman hingga kelembapan tanah turun ke kisaran 50-70% untuk mencegah busuk akar., Tingkatkan sirkulasi udara dalam greenhouse dengan membuka ventilasi atau menggunakan kipas untuk menurunkan kelembapan udara., Jika kondisi gelap berlangsung lama (misalnya lebih dari 12 jam), pertimbangkan menyalakan lampu UV tambahan untuk mendukung fotosintesis.</t>
  </si>
  <si>
    <t>[Waspada] Suhu udara 32.8°C melebihi batas optimal bawang putih tunggal (20-30°C), kelembapan udara 35% sangat rendah (ideal 60-70%), intensitas cahaya 1813.4 lux menunjukkan kondisi terik/terang, dan kelembapan tanah 82% tergolong tinggi (ideal 50-70%). Kombinasi suhu panas, udara kering, dan tanah basah meningkatkan risiko stres tanaman dan serangan jamur.</t>
  </si>
  <si>
    <t>Saran: Turunkan suhu greenhouse dengan mengaktifkan kipas atau sistem pendingin (mist/fog) untuk mencapai kisaran 20-30°C., Tingkatkan kelembapan udara dengan menyemprotkan air halus (misting) atau menggunakan humidifier hingga mencapai 60-70%., Kurangi frekuensi penyiraman karena kelembapan tanah sudah tinggi (82%), biarkan tanah mengering hingga 50-70% untuk mencegah busuk akar.</t>
  </si>
  <si>
    <t>18 Jun 2026</t>
  </si>
  <si>
    <t>Suhu    : 23.0 °C
Hum     : 71.0 %
Cahaya  : 0.0 lux
Soil    : 88.0 %</t>
  </si>
  <si>
    <t>[Bahaya] Suhu udara 32.8 °C berada di atas rentang optimal (18–26 °C), berbahaya bagi pertumbuhan bawang putih tunggal. Kelembapan udara 35% sangat rendah, jauh di bawah rentang optimal (60–80%), menyebabkan stres kekeringan. Intensitas cahaya 1813.4 lux melebihi ambang normal (400-1500 lux), tergolong terik berlebihan dan dapat menyebabkan panas berlebih serta kerusakan daun. Kelembapan tanah 82% melebihi rentang optimal (50–70%), mengindikasikan tanah terlalu basah dan risiko busuk akar. Seluruh parameter berada di luar kondisi ideal, sehingga status keseluruhan adalah Bahaya</t>
  </si>
  <si>
    <t>[Bahaya] Kondisi lingkungan saat ini menunjukkan kelembapan tanah mencapai 88%, jauh di atas ambang optimal 50-70%. Hal ini meningkatkan risiko busuk akar dan penyakit jamur pada bawang putih tunggal. Suhu udara 23°C dan kelembapan udara 71% masih dalam rentang optimal. Intensitas cahaya 0 lux menunjukkan kondisi malam hari, sehingga tidak memerlukan tindakan terkait pencahayaan. Prioritas utama adalah menurunkan kelembapan tanah untuk mencegah kerusakan akar.</t>
  </si>
  <si>
    <t>Saran: Hentikan penyiraman sementara hingga kelembapan tanah turun di bawah 70%., Tingkatkan drainase dengan membuat saluran atau lubang aerasi di sekitar tanaman untuk mempercepat penguapan air., Aduk permukaan tanah secara hati-hati untuk meningkatkan sirkulasi udara dan mengurangi kelembapan berlebih.</t>
  </si>
  <si>
    <t>Saran: Segera aktifkan sistem pendingin (kabut atau kipas) untuk menurunkan suhu udara ke rentang optimal., Tingkatkan kelembapan udara dengan mengaktifkan humidifier atau penyemprotan kabut secara berkala., Kurangi intensitas cahaya dengan menggunakan shading net atau memindahkan tanaman ke area teduh, serta periksa kalibrasi sensor cahaya., Hentikan penyiraman sementara hingga kelembapan tanah turun di bawah 70%, dan pastikan drainase berjalan baik.</t>
  </si>
  <si>
    <t>19 Jun 2026</t>
  </si>
  <si>
    <t>Suhu    : 33.4 °C
Hum     : 35.0 %
Cahaya  : 2219.4 lux
Soil    : 88.0 %</t>
  </si>
  <si>
    <t>[Bahaya] Kondisi lingkungan greenhouse saat ini sangat tidak optimal untuk budidaya bawang putih tunggal. Suhu udara mencapai 33.4°C, jauh di atas batas aman 26°C dan sudah melebihi ambang bahaya 30°C, yang dapat menyebabkan stres panas, gangguan fotosintesis, dan penurunan hasil umbi. Kelembapan udara sangat rendah (35%), jauh di bawah rentang optimal 60-80%, sehingga meningkatkan laju transpirasi dan risiko tanaman layu. Kelembapan tanah sangat tinggi (88%), melebihi batas atas 70%, yang berpotensi menyebabkan busuk akar dan penyakit jamur akibat kondisi anaerobik. Intensitas cahaya sangat terik (&gt;1500 lux) yang memperparah kenaikan suhu dan stres pada tanaman.</t>
  </si>
  <si>
    <t>Saran: Segera aktifkan sistem pendingin (kipas, evaporative cooling, atau AC) untuk menurunkan suhu udara ke kisaran 18-26°C., Tingkatkan kelembapan udara dengan mengaktifkan mist generator atau penyemprotan kabut air halus secara berkala hingga kelembapan mencapai 60-80%., Kurangi frekuensi irigasi dan hentikan sementara penyiraman untuk menurunkan kelembapan tanah di bawah 70%, serta perbaiki drainase jika perlu untuk mencegah genangan air.</t>
  </si>
  <si>
    <t>[Waspada] Suhu udara 30.1°C berada di batas optimal atas untuk bawang putih tunggal (20-30°C), kelembapan udara 50% masih ideal, intensitas cahaya 938.3 lux tergolong cukup terang namun tidak ekstrem, kelembapan tanah 82% melebihi kisaran ideal (60-80%) sehingga berisiko menyebabkan busuk akar.</t>
  </si>
  <si>
    <t>20 Jun 2026</t>
  </si>
  <si>
    <t>Saran: Kurangi frekuensi penyiraman hingga kelembapan tanah turun ke kisaran 60-80%, Tingkatkan sirkulasi udara dengan membuka ventilasi atau menggunakan kipas untuk membantu menurunkan suhu, Pantau suhu udara secara ketat dan pertimbangkan pemberian naungan jika suhu terus meningkat di atas 30°C</t>
  </si>
  <si>
    <t>[Waspada] Suhu udara 30.1°C berada di atas rentang optimal (18–26°C), masuk kategori waspada. Kelembapan udara 50% di bawah rentang optimal (60–80%). Intensitas cahaya 938.3 lux tergolong normal (siang cerah). Kelembapan tanah 82% di atas rentang optimal (50–70%), menunjukkan tanah terlalu basah.</t>
  </si>
  <si>
    <t>Suhu    : 20.6 °C
Hum     : 89.0 %
Cahaya  : 12.6 lux
Soil    : 88.0 %</t>
  </si>
  <si>
    <t>Saran: Turunkan suhu dengan meningkatkan ventilasi atau menggunakan kipas/pendingin, Tingkatkan kelembapan udara dengan pengabutan (mist) atau pelembap, Kurangi frekuensi penyiraman hingga kelembapan tanah turun ke rentang optimal</t>
  </si>
  <si>
    <t>[Waspada] Kondisi greenhouse saat ini: suhu udara 20,6°C dalam rentang optimal (18–26°C). Namun kelembapan udara 89,0% dan kelembapan tanah 88,0% jauh di atas ambang optimal (masing-masing 60–80% dan 50–70%). Kelembapan berlebih ini meningkatkan risiko serangan jamur dan busuk akar pada bawang putih tunggal. Intensitas cahaya 12,6 lux tergolong gelap (malam/remang dalam) sehingga menghambat fotosintesis dan pertumbuhan tanaman.</t>
  </si>
  <si>
    <t>Saran: Segera kurangi kelembapan udara dengan meningkatkan sirkulasi udara, misalnya mengaktifkan kipas exhaust atau membuka ventilasi rumah kaca secara bertahap., Hentikan penyiraman atau kurangi frekuensi penyiraman untuk menurunkan kelembapan tanah di bawah 70% agar tidak terjadi busuk akar., Nyalakan lampu UV atau lampu tanam LED spektrum penuh untuk meningkatkan intensitas cahaya hingga kisaran 400–1500 lux guna mendukung fotosintesis tanaman.</t>
  </si>
  <si>
    <t>21 Jun 2026</t>
  </si>
  <si>
    <t>[Aman] Suhu udara 26.8°C berada dalam kisaran optimal untuk pertumbuhan bawang putih tunggal (20-30°C). Kelembapan udara 66% cukup baik, sedikit di bawah rentang ideal (70-80%) namun masih aman. Intensitas cahaya 829.7 lux menunjukkan kondisi cerah namun tidak terlalu terik, cocok untuk fotosintesis. Kelembapan tanah 83% tergolong tinggi, mendekati batas atas ideal (70-80%), perlu diwaspadai agar tidak menyebabkan busuk akar.</t>
  </si>
  <si>
    <t>Suhu    : 22.6 °C
Hum     : 84.0 %
Cahaya  : 3.0 lux
Soil    : 88.0 %</t>
  </si>
  <si>
    <t>Saran: Kurangi frekuensi penyiraman untuk menurunkan kelembapan tanah ke kisaran 70-80% dan mencegah genangan air., Tingkatkan sirkulasi udara dengan membuka ventilasi atau menyalakan kipas untuk menjaga kelembapan udara tetap optimal., Pantau intensitas cahaya secara berkala; jika turun di bawah 300 lux, pertimbangkan penambahan lampu tambahan.</t>
  </si>
  <si>
    <t>[Waspada] Kondisi lingkungan saat ini menunjukkan suhu udara berada dalam rentang optimal (22.6°C), namun kelembapan udara (84%) dan kelembapan tanah (88%) melebihi batas optimal untuk bawang putih tunggal. Kelembapan udara yang tinggi (&gt;80%) dapat meningkatkan risiko penyakit jamur seperti busuk daun atau layu, sementara kelembapan tanah yang sangat tinggi (&gt;80%) berpotensi menyebabkan busuk akar dan menghambat perkembangan umbi. Intensitas cahaya (3.0 lux) tergolong sangat rendah (kondisi gelap/malam), yang tidak mendukung fotosintesis optimal dan dapat memicu pertumbuhan etiolasi jika berlangsung lama. Meskipun suhu masih aman, kombinasi kelembapan tinggi dan cahaya rendah memerlukan perhatian segera.</t>
  </si>
  <si>
    <t>Saran: Segera kurangi frekuensi penyiraman atau hentikan sementara untuk menurunkan kelembapan tanah hingga di bawah 70%, dan pastikan drainase baik., Tingkatkan sirkulasi udara di dalam greenhouse dengan membuka ventilasi atau menggunakan kipas untuk menurunkan kelembapan udara ke kisaran 60-80%., Pertimbangkan penambahan lampu UV atau lampu pertumbuhan (grow light) jika kondisi gelap berlangsung lebih dari 6-8 jam per hari, untuk mendukung fotosintesis dan mencegah etiolasi.</t>
  </si>
  <si>
    <t>[Waspada] Suhu udara 26.8 °C sedikit di atas rentang optimal (18–26 °C), masuk kategori waspada. Kelembapan udara 66.0% berada dalam rentang optimal (60–80%). Intensitas cahaya 829.7 lux tergolong normal (400-1500 lux). Kelembapan tanah 83.0% jauh di atas rentang optimal (50–70%), berpotensi menyebabkan busuk akar dan penyakit jamur. Secara keseluruhan, kondisi waspada karena kelembapan tanah terlalu tinggi dan suhu sedikit melebihi batas optimal.</t>
  </si>
  <si>
    <t>Saran: Kurangi frekuensi penyiraman atau tingkatkan drainase untuk menurunkan kelembapan tanah hingga 50–70%, Aktifkan sirkulasi udara atau pendingin untuk menurunkan suhu udara ke rentang optimal 18–26 °C, Pantau intensitas cahaya secara berkala, pastikan tidak turun di bawah 400 lux dalam waktu lama</t>
  </si>
  <si>
    <t>Suhu    : 32.5 °C
Hum     : 44.0 %
Cahaya  : 1969.2 lux
Soil    : 88.0 %</t>
  </si>
  <si>
    <t>[Bahaya] Kondisi greenhouse saat ini sangat tidak optimal untuk budidaya bawang putih tunggal. Suhu udara mencapai 32.5°C, jauh di atas batas aman 26°C dan sudah melewati ambang bahaya 30°C, yang dapat menyebabkan stres panas, gangguan fotosintesis, dan penurunan hasil umbi. Kelembapan udara 44% terlalu rendah (optimal 60-80%), meningkatkan laju transpirasi dan risiko dehidrasi. Kelembapan tanah 88% sangat tinggi di atas batas aman 70%, mengindikasikan tanah terlalu basah dan berisiko tinggi menyebabkan busuk akar serta penyakit jamur. Intensitas cahaya 1969.2 lux termasuk kategori sangat terik, yang dapat memperparah kenaikan suhu dan stres pada tanaman.</t>
  </si>
  <si>
    <t>Saran: Segera aktifkan sistem pendingin (kipas, evaporative cooling, atau AC) untuk menurunkan suhu udara hingga kisaran 18-26°C., Kurangi kelembapan tanah dengan menghentikan irigasi dan meningkatkan drainase; jika perlu, lakukan aerasi tanah untuk mengurangi genangan air., Pasang peneduh (shading net) untuk mengurangi intensitas cahaya langsung dan membantu menurunkan suhu, serta tingkatkan kelembapan udara dengan misting atau pelembap udara hingga mencapai 60-80%.</t>
  </si>
  <si>
    <t>Suhu    : 27.7 °C
Hum     : 63.0 %
Cahaya  : 713.5 lux
Soil    : 88.0 %</t>
  </si>
  <si>
    <t>[Waspada] Suhu udara 27.7°C sedikit di atas rentang optimal (18-26°C), mendekati batas berbahaya &gt;30°C. Kelembapan udara 63% masih dalam rentang optimal (60-80%). Intensitas cahaya 713.5 lux termasuk cerah normal (401-1500 lux), aman untuk fotosintesis. Kelembapan tanah 88% sangat tinggi, melebihi batas optimal (50-70%) dan masuk zona risiko busuk akar (&gt;80%). Kondisi ini memerlukan perhatian segera pada pengelolaan kelembapan tanah dan suhu.</t>
  </si>
  <si>
    <t>Saran: Kurangi frekuensi penyiraman atau hentikan sementara hingga kelembapan tanah turun ke kisaran 50-70% untuk mencegah busuk akar, Tingkatkan sirkulasi udara dalam greenhouse dengan membuka ventilasi atau menyalakan kipas untuk membantu menurunkan suhu dan kelembapan tanah, Pantau suhu secara berkala; jika terus naik mendekati 30°C, pertimbangkan penggunaan peneduh atau pendingin evaporatif</t>
  </si>
  <si>
    <t>[Aman] Suhu udara 26.2°C dan kelembapan udara 73% berada dalam kisaran optimal untuk pertumbuhan bawang putih tunggal. Intensitas cahaya 334.4 lux (indikasi mendung/cerah rendah) masih cukup untuk fotosintesis. Kelembapan tanah 88% cenderung tinggi, tetapi masih dalam batas toleransi asalkan drainase baik.</t>
  </si>
  <si>
    <t>Saran: Pantau kelembapan tanah agar tidak melebihi 90% untuk mencegah busuk akar, jika perlu kurangi frekuensi penyiraman., Jaga sirkulasi udara dengan membuka ventilasi greenhouse jika suhu mulai naik di atas 30°C., Lakukan pengecekan rutin pada tanaman untuk mendeteksi tanda-tanda penyakit akibat kelembapan tinggi.</t>
  </si>
  <si>
    <t>[Waspada] Suhu 26.2°C sedikit di atas rentang optimal (18-26°C), waspada. Kelembapan udara 73% dalam rentang optimal (60-80%). Intensitas cahaya 334.4 lux di bawah 400 lux, tergolong gelap. Kelembapan tanah 88% di atas rentang optimal (50-70%), terlalu basah.</t>
  </si>
  <si>
    <t>22 Jun 2026</t>
  </si>
  <si>
    <t>Saran: Kurangi frekuensi penyiraman atau tingkatkan drainase untuk menurunkan kelembapan tanah ke rentang 50-70%, Tingkatkan intensitas cahaya, misalnya dengan lampu LED tambahan agar mencapai minimal 400 lux, Turunkan suhu sedikit dengan meningkatkan ventilasi atau kipas untuk kembali ke rentang optimal</t>
  </si>
  <si>
    <t>Suhu    : 23.4 °C
Hum     : 84.0 %
Cahaya  : 0.0 lux
Soil    : 88.0 %</t>
  </si>
  <si>
    <t>[Waspada] Kondisi lingkungan saat ini menunjukkan kelembapan udara (84%) dan kelembapan tanah (88%) berada di atas rentang optimal (60-80% dan 50-70%). Kelembapan tanah yang terlalu tinggi meningkatkan risiko busuk akar pada bawang putih tunggal. Suhu udara (23.4°C) masih dalam kisaran ideal. Intensitas cahaya 0 lux menunjukkan saat ini malam hari, sehingga tidak memerlukan penanganan khusus. Namun, akumulasi kelembapan berlebih perlu segera diatasi untuk mencegah perkembangan penyakit jamur.</t>
  </si>
  <si>
    <t>Saran: Hentikan penyiraman sementara hingga kelembapan tanah turun di bawah 70% untuk mengurangi risiko busuk akar., Tingkatkan sirkulasi udara di dalam greenhouse dengan membuka ventilasi atau menyalakan kipas untuk menurunkan kelembapan udara., Periksa drainase media tanam dan pastikan tidak ada genangan air di area perakaran.</t>
  </si>
  <si>
    <t>Suhu    : 32.8 °C
Hum     : 44.0 %
Cahaya  : 1691.9 lux
Soil    : 73.0 %</t>
  </si>
  <si>
    <t>[Waspada] Suhu udara 23.1°C masih dalam rentang optimal untuk bawang putih (15-25°C). Namun, kelembapan udara 84% dan kelembapan tanah 83% tergolong tinggi, yang dapat meningkatkan risiko penyakit jamur dan busuk akar. Intensitas cahaya 0 lux menunjukkan kondisi malam atau gelap, sehingga tidak memerlukan tindakan terkait pencahayaan saat ini.</t>
  </si>
  <si>
    <t>[Bahaya] Suhu udara mencapai 32.8°C, jauh di atas ambang batas optimal (18-26°C) dan sudah memasuki level berbahaya (&gt;30°C) yang dapat menyebabkan stres panas, penurunan fotosintesis, dan gangguan perkembangan umbi. Kelembapan udara 44% sangat rendah dari rentang optimal 60-80%, mengakibatkan transpirasi berlebih dan risiko dehidrasi pada tanaman. Intensitas cahaya 1691.9 lux termasuk 'Sangat Terik' (&gt;1500 lux), meningkatkan suhu lingkungan dan memicu penguapan. Kelembapan tanah 73% sedikit di atas optimal (50-70%), mendekati batas atas, sehingga risiko busuk akar mulai meningkat jika tidak segera dikelola. Kombinasi suhu tinggi, kelembapan udara rendah, dan cahaya terik menempatkan tanaman dalam kondisi stres berat.</t>
  </si>
  <si>
    <t>Saran: Kurangi frekuensi penyiraman hingga kelembapan tanah turun ke kisaran 60-70% untuk mencegah busuk akar., Tingkatkan sirkulasi udara di dalam greenhouse dengan membuka ventilasi atau menggunakan kipas untuk menurunkan kelembapan udara., Pantau kondisi tanaman secara berkala untuk mendeteksi gejala awal penyakit jamur, seperti bercak daun atau layu.</t>
  </si>
  <si>
    <t>Saran: Segera aktifkan sistem pendingin (kabut, kipas, atau evaporative cooling) dan buka ventilasi untuk menurunkan suhu udara kembali ke kisaran optimal (18-26°C)., Tingkatkan kelembapan udara dengan mengoperasikan mist generator atau penyemprotan air halus di sekitar tanaman hingga kelembapan mencapai 60-80%., Pasang shading net atau screen untuk mengurangi intensitas cahaya hingga di bawah 1500 lux, guna mencegah pemanasan berlebih dan menurunkan suhu.</t>
  </si>
  <si>
    <t>[Bahaya] Suhu 23.1°C berada dalam rentang optimal (18-26°C). Kelembapan udara 84% melebihi batas optimal (60-80%), meningkatkan risiko jamur. Intensitas cahaya 0 lux menunjukkan kondisi sangat gelap, tidak sesuai untuk fotosintesis bawang putih. Kelembapan tanah 83% jauh di atas rentang optimal (50-70%), menyebabkan risiko busuk akar dan penyakit. Kombinasi kelembapan tinggi dan cahaya nol mengancam pertumbuhan tanaman, sehingga status keseluruhan berbahaya.</t>
  </si>
  <si>
    <t>Saran: Segera kurangi penyiraman dan tingkatkan drainase untuk menurunkan kelembapan tanah hingga 50-70%, Aktifkan sistem ventilasi atau dehumidifier untuk menurunkan kelembapan udara di bawah 80%, Periksa sensor cahaya dan nyalakan lampu tambahan untuk mencapai intensitas minimal 400 lux selama periode fotosintesis</t>
  </si>
  <si>
    <t>Suhu    : 27.4 °C
Hum     : 62.0 %
Cahaya  : 469.6 lux
Soil    : 69.0 %</t>
  </si>
  <si>
    <t>[Waspada] Suhu udara saat ini 27.4°C sedikit melampaui batas optimal bawang putih tunggal (18–26°C). Meskipun belum mencapai ambang bahaya (&gt;30°C), suhu yang terus tinggi dapat menghambat pertumbuhan dan memicu stres panas. Kelembapan udara 62% masih dalam kisaran ideal (60–80%), kelembapan tanah 69% berada di atas batas optimal (50–70%) namun masih dalam batas toleransi, namun perlu diwaspadai karena mendekati risiko busuk akar jika terus meningkat. Intensitas cahaya 469.6 lux termasuk kategori cerah normal (401–1500 lux) sehingga aman untuk fotosintesis. Secara keseluruhan, kondisi terkendali namun suhu perlu segera diturunkan untuk mencegah dampak negatif.</t>
  </si>
  <si>
    <t>Saran: Aktifkan sistem ventilasi atau kipas sirkulasi untuk menurunkan suhu udara greenhouse., Pasang naungan ringan (shading net) jika paparan sinar matahari langsung terlalu tinggi pada siang hari., Kurangi frekuensi penyiraman karena kelembapan tanah sudah mendekati batas atas; pantau agar tidak melebihi 70% untuk mencegah busuk akar.</t>
  </si>
  <si>
    <t>23 Jun 2026</t>
  </si>
  <si>
    <t>Suhu    : 23.1 °C
Hum     : 85.0 %
Cahaya  : 0.0 lux
Soil    : 65.0 %</t>
  </si>
  <si>
    <t>[Waspada] Suhu udara 23,1°C berada dalam rentang optimal (18-26°C). Namun, kelembapan udara mencapai 85%, melebihi batas optimal 60-80%, sehingga meningkatkan risiko serangan jamur dan penyakit seperti botrytis atau embun tepung. Kelembapan tanah 65% masih dalam kisaran aman (50-70%), tidak perlu dikhawatirkan. Intensitas cahaya 0 lux menandakan saat ini malam hari, sehingga tidak diperlukan penanganan pencahayaan. Kondisi ini memerlukan tindakan pencegahan untuk menurunkan kelembapan udara.</t>
  </si>
  <si>
    <t>Saran: Tingkatkan sirkulasi udara dengan membuka ventilasi atau mengaktifkan kipas angin greenhouse untuk mengurangi kelembapan udara., Kurangi frekuensi penyiraman atau atur jadwal irigasi pada pagi hari agar tanah tidak terlalu lembap dan penguapan lebih optimal., Pantau suhu dan kelembapan secara berkala, terutama pada malam hari, untuk mencegah kondensasi yang memicu pertumbuhan patogen.</t>
  </si>
  <si>
    <t>[Waspada] Suhu udara 29.6°C berada di atas rentang optimal (18–26°C), masuk kategori waspada. Kelembapan udara 55% di bawah rentang optimal (60–80%). Intensitas cahaya 911 lux termasuk dalam rentang siang cerah yang wajar (400-1500 lux), sehingga kondisi normal. Kelembapan tanah 88% jauh di atas rentang optimal (50–70%), menunjukkan tanah terlalu basah. Secara keseluruhan, terdapat dua parameter yang tidak optimal (suhu tinggi dan kelembapan tanah berlebih) sehingga status waspada.</t>
  </si>
  <si>
    <t>Saran: Turunkan suhu udara dengan meningkatkan ventilasi atau mengaktifkan sistem pendingin (kabut/kipas)., Kurangi frekuensi penyiraman atau hentikan sementara untuk menurunkan kelembapan tanah hingga rentang optimal., Pantau kelembapan udara; jika tetap rendah, pertimbangkan penambahan pelembap udara atau penyemprotan kabut ringan.</t>
  </si>
  <si>
    <t>[Bahaya] Suhu udara 29.6°C di atas kisaran ideal bawang putih (15-25°C), kelembaban tanah 88% sangat tinggi (&gt;70%) meningkatkan risiko busuk akar, dan intensitas cahaya 911 lux tergolong rendah (&lt;1000 lux) yang menandakan kondisi mendung atau teduh, sehingga pertumbuhan tanaman terhambat.</t>
  </si>
  <si>
    <t>Saran: Hentikan penyiraman sementara dan tingkatkan drainase untuk menurunkan kelembaban tanah hingga 40-70%., Aktifkan sirkulasi udara (kipas) atau buka ventilasi untuk menurunkan suhu dan mengurangi kelembaban udara., Berikan pencahayaan tambahan (lampu LED) untuk memenuhi kebutuhan minimal 6-8 jam cahaya per hari.</t>
  </si>
  <si>
    <t>Suhu    : 34.4 °C
Hum     : 40 %
Cahaya  : 1969.2 lux
Soil    :  62%</t>
  </si>
  <si>
    <t xml:space="preserve">[Waspada] Suhu udara saat ini 34.4°C jauh di atas rentang optimal (18-26°C) dan sudah melebihi batas bahaya 30°C, menyebabkan stres panas pada tanaman bawang putih tunggal. Kelembapan udara 40% sangat rendah dari optimal (60-80%), mempercepat transpirasi dan dehidrasi. Intensitas cahaya 1969.2 lux tergolong sangat terik, berpotensi meningkatkan suhu lebih lanjut. Kelembapan tanah 62% masih dalam rentang optimal (50-70%), namun kombinasi suhu tinggi dan kelembapan udara rendah mengancam kesehatan tanaman. </t>
  </si>
  <si>
    <t>Saran: Segera aktifkan sistem pendingin atau kipas angin untuk menurunkan suhu udara di bawah 30°C, idealnya ke kisaran 18-26°C., Tingkatkan kelembapan udara dengan mengaktifkan mist maker atau penyemprotan kabut air secara berkala hingga mencapai 60-80%., Pasang peneduh (shading net) untuk mengurangi intensitas cahaya langsung yang berlebihan, terutama saat puncak terik, guna mencegah kenaikan suhu lebih lanjut.</t>
  </si>
  <si>
    <t>[Waspada] Suhu udara 21.3°C berada dalam rentang optimal (18–26°C). Kelembapan udara 88% melebihi batas optimal (60–80%), menunjukkan kondisi terlalu lembap. Intensitas cahaya 13.3 lux sangat rendah, tergolong gelap (jauh di bawah 400 lux). Kelembapan tanah 88% juga melebihi batas optimal (50–70%), menunjukkan tanah terlalu basah. Secara keseluruhan, terdapat dua parameter yang tidak optimal (kelembapan udara dan tanah) serta satu parameter kritis (cahaya sangat rendah), sehingga status waspada.</t>
  </si>
  <si>
    <t>Saran: Segera tingkatkan intensitas cahaya dengan menyalakan lampu tambahan atau membuka penutup greenhouse untuk mencapai minimal 400 lux., Kurangi kelembapan tanah dengan menghentikan penyiraman sementara dan meningkatkan drainase atau aerasi tanah., Turunkan kelembapan udara dengan meningkatkan ventilasi atau menggunakan dehumidifier untuk mencegah risiko penyakit jamur.</t>
  </si>
  <si>
    <t>[Waspada] Suhu udara 21.3°C masih dalam rentang optimal untuk bawang putih tunggal (18-25°C). Kelembapan udara 88% sangat tinggi, mendekati batas atas ideal (60-80%), yang dapat memicu perkembangan jamur dan penyakit. Intensitas cahaya 13.3 lux sangat rendah, menunjukkan kondisi gelap atau mendung, tidak mencukupi kebutuhan fotosintesis tanaman yang memerlukan &gt;300 lux. Kelembapan tanah 88% sangat tinggi, mendekati jenuh, yang dapat menyebabkan pembusukan akar dan umbi.</t>
  </si>
  <si>
    <t>Saran: Tingkatkan sirkulasi udara dengan membuka ventilasi atau menggunakan kipas untuk menurunkan kelembapan udara di bawah 80%., Kurangi frekuensi penyiraman atau hentikan sementara hingga kelembapan tanah turun ke kisaran 60-70% untuk mencegah pembusukan akar., Tambahkan pencahayaan buatan (lampu LED grow) untuk meningkatkan intensitas cahaya minimal 300-500 lux guna mendukung pertumbuhan tanaman.</t>
  </si>
  <si>
    <t>Suhu    : 29.0 °C
Hum     : 56.0 %
Cahaya  : 773.9 lux
Soil    : 63.0 %</t>
  </si>
  <si>
    <t xml:space="preserve">[Waspada] Suhu udara saat ini 29.0°C berada di atas rentang optimal (18–26°C) dan mendekati ambang bahaya &gt;30°C, yang dapat menyebabkan stres panas pada bawang putih tunggal. Kelembapan udara 56% sedikit di bawah rentang ideal (60–80%), berpotensi meningkatkan transpirasi dan memperparah stres suhu. Kelembapan tanah 63% masih dalam rentang optimal (50–70%), sehingga kondisi akar cukup baik. Intensitas cahaya 773.9 lux termasuk dalam kategori cerah normal (401–1500 lux), aman untuk fotosintesis. Namun, kombinasi suhu tinggi dan kelembapan udara rendah perlu diwaspadai karena dapat menghambat pertumbuhan umbi dan meningkatkan risiko serangan hama atau penyakit. </t>
  </si>
  <si>
    <t>Saran: Segera aktifkan sistem pendingin atau kipas sirkulasi untuk menurunkan suhu udara di bawah 26°C, misalnya dengan misting atau evaporative cooling., Tingkatkan kelembapan udara dengan menyemprotkan air halus di sekitar tanaman atau menggunakan humidifier hingga mencapai 60–70%., Pantau suhu secara berkala setiap 1–2 jam, terutama pada siang hari, dan siapkan tindakan darurat jika suhu mencapai 30°C atau lebih.</t>
  </si>
  <si>
    <t>[Aman] Suhu udara 23.0°C berada dalam rentang optimal untuk pertumbuhan bawang putih tunggal (18-25°C). Kelembapan udara 71% cukup baik, sedikit di atas ideal (60-70%) namun masih aman. Intensitas cahaya 0.0 lux menunjukkan kondisi gelap (malam hari atau mendung), yang normal untuk siklus harian. Kelembapan tanah 88% tergolong tinggi, mendekati batas jenuh, yang dapat memicu busuk akar jika berlangsung lama.</t>
  </si>
  <si>
    <t>Saran: Kurangi frekuensi penyiraman hingga kelembapan tanah turun ke kisaran 60-80% untuk mencegah genangan air dan busuk akar., Pastikan sirkulasi udara di greenhouse baik untuk membantu menurunkan kelembapan udara yang sedikit tinggi., Pantau intensitas cahaya saat siang hari; jika tetap rendah (&lt;300 lux) dalam waktu lama, pertimbangkan penggunaan lampu tambahan untuk mendukung fotosintesis.</t>
  </si>
  <si>
    <t>[Waspada] Suhu udara 23.0 °C berada dalam rentang optimal (18–26 °C). Kelembapan udara 71.0 % berada dalam rentang optimal (60–80 %). Intensitas cahaya 0.0 lux tergolong gelap (di bawah 400 lux), menunjukkan kondisi malam atau minim cahaya. Kelembapan tanah 88.0 % melebihi rentang optimal (50–70 %), mengindikasikan tanah terlalu basah. Secara keseluruhan, kondisi tanah yang terlalu lembap menjadi faktor waspada.</t>
  </si>
  <si>
    <t>Saran: Kurangi frekuensi penyiraman atau hentikan sementara hingga kelembapan tanah turun ke rentang optimal (50–70%), Pastikan drainase greenhouse berfungsi baik untuk mencegah genangan air, Pantau intensitas cahaya saat siang hari; jika tetap rendah, pertimbangkan pencahayaan tambahan</t>
  </si>
  <si>
    <t>[Waspada] Suhu udara 33.4°C melebihi batas optimal bawang putih tunggal (20-30°C), kelembapan udara 35% sangat rendah (ideal 60-70%), intensitas cahaya 2219.4 lux menunjukkan kondisi terik, dan kelembapan tanah 88% terlalu tinggi (ideal 50-70%) yang dapat menyebabkan busuk akar.</t>
  </si>
  <si>
    <t>[Bahaya] Suhu udara 33.4°C (berbahaya, di atas optimal 18-26°C), kelembapan udara 35% (sangat kering, di bawah optimal 60-80%), intensitas cahaya 2219.4 lux (terik berlebihan, di atas rentang wajar 400-1500 lux), kelembapan tanah 88% (terlalu basah, di atas optimal 50-70%). Seluruh parameter berada di luar kondisi optimal, sehingga tanaman dalam keadaan bahaya.</t>
  </si>
  <si>
    <t>Saran: Segera turunkan suhu dengan memberikan naungan dan meningkatkan ventilasi, Kurangi intensitas cahaya dengan memasang paranet atau shading, Kurangi kelembapan tanah dengan memperbaiki drainase dan menghentikan penyiraman sementara</t>
  </si>
  <si>
    <t>Saran: Turunkan suhu dengan mengaktifkan kipas atau pendingin evaporatif, serta beri naungan jika perlu., Tingkatkan kelembapan udara dengan mengaktifkan mist maker atau penyemprotan air halus di sekitar tanaman., Kurangi frekuensi penyiraman karena kelembapan tanah sudah sangat tinggi; pastikan drainase baik untuk mencegah genangan.</t>
  </si>
  <si>
    <t>Suhu    : 29.0 °C
Hum     : 58.0 %
Cahaya  : 1368.5 lux
Soil    : 59.0 %</t>
  </si>
  <si>
    <t>[Waspada] Suhu udara 29.0°C mendekati batas bahaya 30°C, dapat menghambat pertumbuhan dan meningkatkan risiko stres panas. Kelembapan udara 58.0% sedikit di bawah rentang optimal 60-80%, berpotensi menyebabkan dehidrasi pada tanaman. Intensitas cahaya 1368.5 lux masih dalam kategori Cerah Normal, aman untuk fotosintesis. Kelembapan tanah 59.0% berada dalam rentang optimal 50-70%, kondisi akar cukup baik. Namun, suhu yang tinggi perlu segera diantisipasi untuk mencegah kerusakan.</t>
  </si>
  <si>
    <t>Saran: Segera turunkan suhu greenhouse dengan membuka ventilasi atau mengaktifkan kipas sirkulasi udara untuk mencegah suhu naik di atas 30°C., Tingkatkan kelembapan udara dengan melakukan pengabutan (mist) ringan pada pagi atau sore hari untuk mencapai rentang optimal 60-80%., Pantau suhu secara berkala dan pertimbangkan penggunaan peneduh jika intensitas cahaya meningkat di atas 1500 lux untuk menjaga suhu tetap stabil.</t>
  </si>
  <si>
    <t>[Bahaya] Suhu udara 20.6°C berada dalam rentang optimal (18–26°C). Kelembapan udara 89.0% melampaui batas optimal (60–80%), meningkatkan risiko penyakit jamur. Intensitas cahaya 12.6 lux sangat rendah (jauh di bawah rentang siang cerah 400–1500 lux), menyebabkan kekurangan cahaya untuk fotosintesis. Kelembapan tanah 88.0% jauh di atas rentang optimal (50–70%), mengancam aerasi akar dan memicu busuk akar.</t>
  </si>
  <si>
    <t>Saran: Segera kurangi penyiraman dan tingkatkan drainase untuk menurunkan kelembapan tanah hingga 50–70%, Tambahkan pencahayaan buatan (lampu LED tanaman) untuk meningkatkan intensitas cahaya minimal ke 400 lux, Aktifkan ventilasi atau gunakan dehumidifier untuk menurunkan kelembapan udara ke kisaran 60–80%</t>
  </si>
  <si>
    <t>JUMLAH</t>
  </si>
  <si>
    <t>[Bahaya] Kondisi saat ini menunjukkan kelembaban udara (89%) dan kelembaban tanah (88%) sangat tinggi, meningkatkan risiko serangan jamur dan busuk akar pada bawang putih tunggal. Intensitas cahaya sangat rendah (12.6 lux) mengindikasikan kondisi gelap yang tidak ideal untuk pertumbuhan optimal. Suhu udara (20.6°C) masih dalam kisaran yang sesuai.</t>
  </si>
  <si>
    <t>Saran: Kurangi frekuensi penyiraman hingga kelembaban tanah turun ke kisaran 60-70% untuk mencegah busuk akar., Tingkatkan sirkulasi udara dengan membuka ventilasi atau menggunakan kipas untuk menurunkan kelembaban udara., Tambahkan pencahayaan buatan (misal lampu LED tumbuh) dengan intensitas minimal 3000 lux selama 12 jam per hari untuk mendukung fotosintesis.</t>
  </si>
  <si>
    <t>[Aman] Suhu udara 22.6°C berada dalam kisaran optimal untuk bawang putih tunggal (18-25°C). Kelembapan udara 84% cukup tinggi namun masih toleran, meskipun perlu diwaspadai risiko jamur. Intensitas cahaya 3.0 lux menunjukkan kondisi sangat gelap (mendung atau malam hari), sehingga tidak memerlukan naungan tambahan. Kelembapan tanah 88% tergolong sangat basah, mendekati jenuh, yang dapat menyebabkan busuk akar jika berlangsung lama.</t>
  </si>
  <si>
    <t>Saran: Kurangi frekuensi penyiraman hingga kelembapan tanah turun ke kisaran 60-70% untuk mencegah busuk akar., Tingkatkan sirkulasi udara dengan membuka ventilasi atau menggunakan kipas untuk menurunkan kelembapan udara dan mengurangi risiko penyakit jamur., Pantau intensitas cahaya saat siang hari; jika tetap rendah (&lt;300 lux), pertimbangkan penggunaan lampu tambahan untuk mendukung fotosintesis.</t>
  </si>
  <si>
    <t>[Waspada] Suhu udara 22.6°C berada dalam rentang optimal (18-26°C). Kelembapan udara 84% melebihi batas optimal (60-80%), menunjukkan kondisi terlalu lembap. Intensitas cahaya 3 lux sangat rendah, jauh di bawah rentang siang cerah (400-1500 lux), tergolong gelap. Kelembapan tanah 88% sangat tinggi, melebihi batas optimal (50-70%), mengindikasikan tanah terlalu basah. Secara keseluruhan, kelembapan udara dan tanah yang berlebihan serta pencahayaan yang sangat kurang menjadi perhatian utama.</t>
  </si>
  <si>
    <t>RATA-RATA</t>
  </si>
  <si>
    <t>Saran: Segera tingkatkan intensitas cahaya dengan menyalakan lampu tambahan atau membuka penutup greenhouse untuk mencapai minimal 400 lux., Kurangi kelembapan tanah dengan memperbaiki drainase atau mengurangi frekuensi penyiraman hingga kelembapan turun ke rentang 50-70%., Tingkatkan sirkulasi udara untuk menurunkan kelembapan udara, misalnya dengan mengaktifkan kipas atau membuka ventilasi.</t>
  </si>
  <si>
    <t>[Waspada] Suhu udara 32.5°C melebihi kisaran optimal bawang putih (20-25°C), dapat menyebabkan stres panas. Kelembapan udara 44% terlalu rendah, meningkatkan risiko penguapan berlebih. Kelembapan tanah 88% sangat tinggi, mendekati jenuh, berpotensi menyebabkan busuk akar. Intensitas cahaya 1969.2 lux (terang) mendukung fotosintesis, namun kombinasi suhu panas dan tanah basah perlu diwaspadai.</t>
  </si>
  <si>
    <t>Saran: Kurangi frekuensi penyiraman hingga kelembapan tanah turun ke kisaran 60-70% untuk mencegah busuk akar., Berikan naungan atau semprotkan air di sekitar area tanam untuk menurunkan suhu udara, misalnya dengan paranet 50% atau fogging., Tingkatkan sirkulasi udara dengan membuka ventilasi greenhouse atau menggunakan kipas untuk mengurangi kelembapan udara dan stres panas.</t>
  </si>
  <si>
    <t>STDEV</t>
  </si>
  <si>
    <t>[Bahaya] Suhu 32.5°C melebihi rentang optimal (18-26°C) sehingga berpotensi menyebabkan stres panas. Kelembapan udara 44% di bawah rentang optimal (60-80%) menyebabkan penguapan tinggi dan risiko dehidrasi. Intensitas cahaya 1969.2 lux di atas estimasi siang cerah (400-1500 lux) mengindikasikan kondisi terik berlebihan yang dapat membakar daun. Kelembapan tanah 88% jauh di atas rentang optimal (50-70%) mengakibatkan genangan dan risiko busuk akar. Seluruh parameter berada di luar ambang batas aman, sehingga status keseluruhan adalah bahaya.</t>
  </si>
  <si>
    <t>Saran: Segera turunkan suhu dengan meningkatkan ventilasi atau mengaktifkan sistem pendingin (misal kipas atau evaporative cooling)., Tingkatkan kelembapan udara menggunakan humidifier atau sistem kabut (fogging) untuk mencapai 60-80%., Kurangi intensitas cahaya dengan memasang naungan (shading net) atau menyesuaikan jadwal pencahayaan buatan., Perbaiki drainase dan kurangi frekuensi penyiraman hingga kelembapan tanah turun ke kisaran 50-70% untuk mencegah busuk akar.</t>
  </si>
  <si>
    <t>[Aman] Suhu udara 27.7°C masih dalam rentang optimal untuk bawang putih tunggal (20-30°C). Kelembapan udara 63% cukup baik, sedikit di bawah ideal (70-80%) namun masih toleran. Intensitas cahaya 713.5 lux menunjukkan kondisi cerah namun tidak terlalu terik, cocok untuk pertumbuhan. Kelembapan tanah 88% tergolong tinggi, mendekati batas jenuh yang dapat menyebabkan busuk akar jika berlangsung lama.</t>
  </si>
  <si>
    <t>Saran: Kurangi frekuensi penyiraman karena kelembapan tanah sudah sangat tinggi, biarkan tanah mengering hingga 60-70% sebelum menyiram kembali., Tingkatkan sirkulasi udara dengan membuka ventilasi atau menyalakan kipas untuk menurunkan kelembapan udara dan mencegah jamur., Pantau intensitas cahaya; jika turun di bawah 500 lux dalam waktu lama, pertimbangkan penambahan lampu tambahan untuk menjaga fotosintesis.</t>
  </si>
  <si>
    <t>[Waspada] Suhu udara (27.7 °C) berada di atas rentang optimal (18–26 °C), masuk kategori waspada. Kelembapan udara (63.0%) berada dalam rentang optimal (60–80%). Intensitas cahaya (713.5 lux) tergolong normal (400-1500 lux). Kelembapan tanah (88.0%) berada di atas rentang optimal (50–70%), masuk kategori waspada karena terlalu basah. Secara keseluruhan, dua parameter (suhu dan kelembapan tanah) di luar optimal, sehingga status waspada.</t>
  </si>
  <si>
    <t>[Waspada] Suhu udara 23.4°C berada dalam kisaran optimal untuk bawang putih tunggal (15-25°C). Namun, kelembapan udara 84% tergolong tinggi dan dapat meningkatkan risiko serangan jamur atau penyakit. Intensitas cahaya 0.0 lux menunjukkan kondisi gelap (mungkin malam atau cuaca sangat mendung), sehingga tanaman tidak mendapatkan cahaya untuk fotosintesis. Kelembapan tanah 88% sangat tinggi, mendekati jenuh, yang dapat menyebabkan busuk akar akibat aerasi tanah yang buruk.</t>
  </si>
  <si>
    <t>Saran: Turunkan suhu greenhouse dengan meningkatkan ventilasi atau menggunakan pendingin evaporatif, Kurangi frekuensi penyiraman atau perbaiki drainase untuk menurunkan kelembapan tanah, Pantau intensitas cahaya secara berkala untuk memastikan tidak ada perubahan signifikan</t>
  </si>
  <si>
    <t>Saran: Jangan lakukan penyiraman sampai kelembapan tanah turun di bawah 70% untuk mencegah busuk akar., Aktifkan sirkulasi udara (kipas) atau buka ventilasi untuk menurunkan kelembapan udara dan mengurangi risiko jamur., Jika kondisi gelap berlangsung lebih dari 12 jam, pertimbangkan menyalakan lampu tambahan (misal LED grow light) untuk memenuhi kebutuhan fotosintesis harian.</t>
  </si>
  <si>
    <t>[Waspada] Suhu udara 32.8°C melebihi batas optimal bawang putih (20-30°C), kelembapan udara 44% terlalu rendah (ideal 60-70%), intensitas cahaya 1691.9 lux tergolong terik yang dapat menyebabkan stres panas, namun kelembapan tanah 73% masih cukup baik. Kombinasi suhu tinggi dan kelembapan udara rendah meningkatkan risiko penguapan berlebih dan stres pada tanaman.</t>
  </si>
  <si>
    <t>Saran: Turunkan suhu dengan mengaktifkan sistem pendingin atau meningkatkan sirkulasi udara (kipas) secara bertahap, Tingkatkan kelembapan udara dengan mengaktifkan mist maker atau penyemprotan air halus di sekitar tanaman, Berikan naungan sementara (shading net) jika intensitas cahaya terlalu terik untuk mengurangi stres panas</t>
  </si>
  <si>
    <t>[Waspada] Suhu udara 23.4°C berada dalam rentang optimal (18–26°C). Kelembapan udara 84% melebihi rentang optimal (60–80%), mengindikasikan kondisi terlalu lembab. Intensitas cahaya 0.0 lux tergolong gelap, namun perlu dikonfirmasi apakah saat ini malam hari atau sensor bermasalah. Kelembapan tanah 88% jauh di atas rentang optimal (50–70%), menunjukkan tanah terlalu basah yang berisiko menyebabkan busuk akar.</t>
  </si>
  <si>
    <t>Saran: Aktifkan ventilasi atau kipas untuk menurunkan kelembapan udara hingga ke rentang optimal., Kurangi frekuensi penyiraman dan perbaiki drainase tanah untuk menurunkan kelembapan tanah., Periksa kalibrasi sensor cahaya; pastikan pencahayaan tambahan tersedia jika diperlukan pada siang hari.</t>
  </si>
  <si>
    <t>[Aman] Suhu udara 27.4°C masih dalam rentang optimal untuk bawang putih tunggal (20-30°C). Kelembapan udara 62% cukup baik, sedikit di bawah ideal (65-70%) namun masih aman. Intensitas cahaya 469.6 lux menunjukkan kondisi cerah namun tidak terik, cocok untuk pertumbuhan. Kelembapan tanah 69% berada dalam kisaran ideal (60-80%), menandakan ketersediaan air yang cukup.</t>
  </si>
  <si>
    <t>Saran: Pantau kelembapan udara; jika turun di bawah 60%, pertimbangkan untuk meningkatkan kelembapan dengan penyemprotan kabut atau pelembap udara., Pastikan sirkulasi udara tetap baik untuk mencegah kelembapan berlebih yang dapat memicu jamur., Lakukan penyiraman jika kelembapan tanah turun di bawah 60%, namun saat ini belum diperlukan.</t>
  </si>
  <si>
    <t>[Bahaya] Suhu udara 32.8°C berada di atas rentang optimal (18–26°C), termasuk berbahaya bagi bawang putih tunggal. Kelembapan udara 44% di bawah rentang optimal (60–80%), menyebabkan kondisi kering. Intensitas cahaya 1691.9 lux melebihi rentang siang cerah wajar (400-1500 lux), tergolong terik berlebihan. Kelembapan tanah 73% di atas rentang optimal (50-70%), menunjukkan tanah terlalu basah. Kombinasi suhu tinggi, udara kering, cahaya terik, dan tanah basah meningkatkan risiko stres, busuk akar, dan gangguan pertumbuhan.</t>
  </si>
  <si>
    <t>Saran: Segera turunkan suhu dengan mengaktifkan sistem pendingin atau ventilasi maksimal., Tingkatkan kelembapan udara dengan pengabutan (mist) atau pelembap udara., Kurangi intensitas cahaya dengan memasang naungan atau mengurangi durasi pencahayaan buatan., Kurangi frekuensi penyiraman dan perbaiki drainase untuk menurunkan kelembapan tanah.</t>
  </si>
  <si>
    <t>[Waspada] Suhu udara 23.1°C masih dalam rentang ideal (18-28°C) untuk bawang putih tunggal. Kelembapan udara 85% cukup tinggi, mendekati batas atas yang ideal (60-80%), sehingga berisiko memicu pertumbuhan jamur. Intensitas cahaya 0.0 lux menunjukkan kondisi sangat gelap (malam atau ruang tertutup), yang tidak optimal karena bawang putih membutuhkan minimal 300-500 lux untuk fotosintesis. Kelembapan tanah 65% berada dalam kisaran baik (50-70%), namun perlu dipantau agar tidak terlalu basah.</t>
  </si>
  <si>
    <t>Saran: Turunkan kelembapan udara dengan meningkatkan sirkulasi atau menggunakan dehumidifier jika kelembapan terus tinggi, Tambahkan pencahayaan buatan (lampu LED/ grow light) untuk memenuhi kebutuhan minimal 300-500 lux selama 12-14 jam per hari, Periksa drainase tanah dan kurangi frekuensi penyiraman jika kelembapan tanah cenderung naik, hindari genangan air</t>
  </si>
  <si>
    <t>[Aman] Suhu udara 27.4 °C sedikit di atas rentang optimal (18–26 °C), masuk kategori waspada. Kelembapan udara 62.0% berada dalam rentang optimal (60–80%). Intensitas cahaya 469.6 lux tergolong normal (400-1500 lux). Kelembapan tanah 69.0% berada dalam rentang optimal (50–70%). Secara keseluruhan, hanya suhu yang sedikit tinggi, namun masih dalam batas toleransi.</t>
  </si>
  <si>
    <t>Saran: Pantau suhu udara secara berkala, jika terus meningkat pertimbangkan untuk mengaktifkan sistem pendingin atau ventilasi., Pertahankan kelembapan udara dan tanah pada kondisi saat ini., Pastikan pencahayaan tetap stabil, tidak perlu penyesuaian.</t>
  </si>
  <si>
    <t>[Aman] Suhu udara 23.1°C berada dalam rentang optimal (18–26°C). Kelembapan udara 85% melebihi rentang optimal (60–80%), namun masih dalam batas toleransi untuk bawang putih tunggal. Intensitas cahaya 0.0 lux menunjukkan kondisi gelap (malam hari atau tertutup), yang wajar pada malam hari. Kelembapan tanah 65% berada dalam rentang optimal (50–70%). Secara keseluruhan, kondisi greenhouse aman dengan catatan kelembapan udara sedikit tinggi.</t>
  </si>
  <si>
    <t>Saran: Pantau kelembapan udara secara berkala; jika terus tinggi, pertimbangkan meningkatkan ventilasi atau menggunakan dehumidifier., Pastikan pencahayaan tambahan tersedia jika kondisi gelap berlangsung lama (misalnya saat mendung atau malam hari) untuk mendukung fotosintesis., Lanjutkan pemantauan suhu dan kelembapan tanah secara rutin untuk menjaga kondisi optimal.</t>
  </si>
  <si>
    <t xml:space="preserve">[Waspada] Suhu udara 34.4°C sudah di atas kisaran optimal (20-30°C) untuk bawang putih tunggal, ditambah kelembapan udara rendah 40% yang dapat meningkatkan transpirasi dan stres tanaman. Intensitas cahaya 1969.2 lux tergolong terang, sehingga memerlukan naungan sementara untuk mengurangi penguapan. Kelembapan tanah 62% masih cukup baik, tetapi perlu pemantauan agar tidak turun drastis akibat suhu tinggi. </t>
  </si>
  <si>
    <t>Saran: Aktifkan sistem pendingin atau kipas angin untuk menurunkan suhu dan sirkulasi udara, Pasang paranet atau penutup sementara untuk mengurangi intensitas cahaya langsung yang berlebihan, Lakukan penyiraman tambahan pada pagi atau sore hari untuk menjaga kelembapan tanah tetap stabil.</t>
  </si>
  <si>
    <t>[Bahaya] Suhu 34.4°C jauh di atas rentang optimal (18-26°C), berbahaya bagi tanaman. Kelembaban udara 40% di bawah optimal (60-80%), menyebabkan stres kekeringan. Intensitas cahaya 1969 lux melebihi batas wajar (400-1500 lux), tergolong terik berlebihan. Kelembaban tanah 62% masih dalam rentang optimal (50-70%). Kombinasi suhu tinggi, udara kering, dan cahaya terik menimbulkan risiko serius bagi pertumbuhan bawang putih tunggal.</t>
  </si>
  <si>
    <t>Saran: Segera turunkan suhu greenhouse dengan mengaktifkan sistem pendingin (kipas, evaporative cooling) atau membuka ventilasi maksimal, Tingkatkan kelembaban udara melalui misting atau penyemprotan air halus secara berkala, Kurangi intensitas cahaya dengan memasang shading net (50-70%) atau menutup sementara sebagian atap</t>
  </si>
  <si>
    <t xml:space="preserve">[Aman] Suhu udara 29.0°C masih dalam rentang optimal untuk bawang putih tunggal (20-30°C). Kelembapan udara 56% cukup baik, sedikit di bawah ideal (60-70%) namun masih toleran. Intensitas cahaya 773.9 lux menunjukkan kondisi cerah namun tidak terlalu terik, cocok untuk pertumbuhan. Kelembapan tanah 63% berada dalam kisaran ideal (50-70%) untuk bawang putih. </t>
  </si>
  <si>
    <t>Saran: Pertahankan penyiraman sesuai jadwal karena kelembapan tanah masih baik., Pantau suhu udara agar tidak naik di atas 30°C, jika perlu aktifkan sirkulasi atau naungan., Tidak perlu penambahan cahaya buatan karena intensitas saat ini cukup untuk fotosintesis.</t>
  </si>
  <si>
    <t>[Waspada] Suhu udara 29.0°C melebihi rentang optimal (18–26°C) sehingga masuk kategori waspada. Kelembapan udara 56.0% berada di bawah rentang optimal (60–80%), menunjukkan kondisi terlalu kering. Intensitas cahaya 773.9 lux berada dalam rentang normal (400–1500 lux) untuk siang cerah. Kelembapan tanah 63.0% berada dalam rentang optimal (50–70%). Secara keseluruhan, dua parameter (suhu dan kelembapan udara) tidak optimal, sehingga status waspada.</t>
  </si>
  <si>
    <t>Saran: Turunkan suhu dengan meningkatkan ventilasi atau mengaktifkan sistem pendingin (misal kipas atau evaporative cooling)., Tingkatkan kelembapan udara dengan mengaktifkan sistem pengabutan (mist) atau penyemprotan air halus., Pantau secara berkala suhu dan kelembapan udara untuk mencegah stres pada tanaman bawang putih tunggal.</t>
  </si>
  <si>
    <t>[Aman] Suhu udara 29.0°C masih dalam rentang optimal untuk bawang putih tunggal (20-30°C). Kelembapan udara 58% sedikit di bawah ideal (60-70%) namun masih toleran. Intensitas cahaya 1368.5 lux (terik) baik untuk fotosintesis. Kelembapan tanah 59% berada di bawah ideal (70-80%) untuk fase pertumbuhan aktif, menandakan tanah mulai kering.</t>
  </si>
  <si>
    <t>Saran: Lakukan penyiraman ringan untuk meningkatkan kelembapan tanah hingga 70-80%., Pantau suhu agar tidak naik di atas 30°C, jika perlu aktifkan sirkulasi udara atau naungan., Periksa kelembapan udara; jika turun di bawah 50%, semprot kabut air di sekitar tanaman.</t>
  </si>
  <si>
    <t>[Waspada] Suhu udara 29.0°C berada di atas rentang optimal (18–26°C), masuk kategori waspada. Kelembapan udara 58.0% sedikit di bawah rentang optimal (60–80%). Intensitas cahaya 1368.5 lux tergolong normal (siang cerah). Kelembapan tanah 59.0% berada dalam rentang optimal (50–70%). Secara keseluruhan, suhu yang tinggi menjadi faktor utama yang perlu diwaspadai.</t>
  </si>
  <si>
    <t>Saran: Aktifkan sistem pendingin atau naungan untuk menurunkan suhu udara ke rentang optimal., Tingkatkan kelembapan udara dengan mengaktifkan misting atau penyemprotan air halus., Pantau suhu secara berkala dan pastikan ventilasi berjalan baik.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</si>
</sst>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mmm\-yy"/>
  </numFmts>
  <fonts count="27">
    <font>
      <sz val="11.0"/>
      <color theme="1"/>
      <name val="Calibri"/>
      <scheme val="minor"/>
    </font>
    <font>
      <b/>
      <sz val="13.0"/>
      <color rgb="FFFFFFFF"/>
      <name val="Arial"/>
    </font>
    <font>
      <b/>
      <sz val="13.0"/>
      <color rgb="FFFFFFFF"/>
      <name val="Times New Roman"/>
    </font>
    <font/>
    <font>
      <i/>
      <sz val="10.0"/>
      <color rgb="FF2F5496"/>
      <name val="Times New Roman"/>
    </font>
    <font>
      <i/>
      <sz val="10.0"/>
      <color rgb="FF555555"/>
      <name val="Arial"/>
    </font>
    <font>
      <b/>
      <sz val="12.0"/>
      <color rgb="FFFFFFFF"/>
      <name val="Times New Roman"/>
    </font>
    <font>
      <b/>
      <sz val="11.0"/>
      <color rgb="FFFFFFFF"/>
      <name val="Arial"/>
    </font>
    <font>
      <sz val="12.0"/>
      <color theme="1"/>
      <name val="Times New Roman"/>
    </font>
    <font>
      <color theme="1"/>
      <name val="Arial"/>
    </font>
    <font>
      <sz val="12.0"/>
      <color rgb="FF000000"/>
      <name val="Times New Roman"/>
    </font>
    <font>
      <color theme="1"/>
      <name val="Calibri"/>
      <scheme val="minor"/>
    </font>
    <font>
      <i/>
      <sz val="12.0"/>
      <color rgb="FF2F5496"/>
      <name val="Times New Roman"/>
    </font>
    <font>
      <sz val="11.0"/>
      <color theme="1"/>
      <name val="Calibri"/>
    </font>
    <font>
      <b/>
      <sz val="12.0"/>
      <color rgb="FF000000"/>
      <name val="Times New Roman"/>
    </font>
    <font>
      <sz val="12.0"/>
      <color theme="1"/>
      <name val="Calibri"/>
    </font>
    <font>
      <sz val="12.0"/>
      <color theme="1"/>
      <name val="Calibri"/>
      <scheme val="minor"/>
    </font>
    <font>
      <b/>
      <sz val="11.0"/>
      <color rgb="FF1F4E79"/>
      <name val="Times New Roman"/>
    </font>
    <font>
      <b/>
      <sz val="11.0"/>
      <color rgb="FF000000"/>
      <name val="Times New Roman"/>
    </font>
    <font>
      <sz val="11.0"/>
      <color rgb="FF000000"/>
      <name val="Times New Roman"/>
    </font>
    <font>
      <b/>
      <sz val="11.0"/>
      <color rgb="FFFFFFFF"/>
      <name val="Times New Roman"/>
    </font>
    <font>
      <b/>
      <sz val="10.0"/>
      <color rgb="FFFFFFFF"/>
      <name val="Times New Roman"/>
    </font>
    <font>
      <sz val="10.0"/>
      <color rgb="FF000000"/>
      <name val="Times New Roman"/>
    </font>
    <font>
      <b/>
      <sz val="10.0"/>
      <color rgb="FF000000"/>
      <name val="Times New Roman"/>
    </font>
    <font>
      <sz val="11.0"/>
      <color theme="1"/>
      <name val="Arial"/>
    </font>
    <font>
      <sz val="10.0"/>
      <color theme="1"/>
      <name val="Arial"/>
    </font>
    <font>
      <sz val="11.0"/>
      <color rgb="FF006100"/>
      <name val="Calibri"/>
    </font>
  </fonts>
  <fills count="17">
    <fill>
      <patternFill patternType="none"/>
    </fill>
    <fill>
      <patternFill patternType="lightGray"/>
    </fill>
    <fill>
      <patternFill patternType="solid">
        <fgColor rgb="FF1F5C2E"/>
        <bgColor rgb="FF1F5C2E"/>
      </patternFill>
    </fill>
    <fill>
      <patternFill patternType="solid">
        <fgColor rgb="FF1F4E79"/>
        <bgColor rgb="FF1F4E79"/>
      </patternFill>
    </fill>
    <fill>
      <patternFill patternType="solid">
        <fgColor rgb="FFF0F7F0"/>
        <bgColor rgb="FFF0F7F0"/>
      </patternFill>
    </fill>
    <fill>
      <patternFill patternType="solid">
        <fgColor rgb="FF2E75B6"/>
        <bgColor rgb="FF2E75B6"/>
      </patternFill>
    </fill>
    <fill>
      <patternFill patternType="solid">
        <fgColor rgb="FFDEEAF1"/>
        <bgColor rgb="FFDEEAF1"/>
      </patternFill>
    </fill>
    <fill>
      <patternFill patternType="solid">
        <fgColor rgb="FFFFFFFF"/>
        <bgColor rgb="FFFFFFFF"/>
      </patternFill>
    </fill>
    <fill>
      <patternFill patternType="solid">
        <fgColor rgb="FFEBF5EB"/>
        <bgColor rgb="FFEBF5EB"/>
      </patternFill>
    </fill>
    <fill>
      <patternFill patternType="solid">
        <fgColor rgb="FFFFFACD"/>
        <bgColor rgb="FFFFFACD"/>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E8F5E9"/>
        <bgColor rgb="FFE8F5E9"/>
      </patternFill>
    </fill>
    <fill>
      <patternFill patternType="solid">
        <fgColor rgb="FFFDE9D9"/>
        <bgColor rgb="FFFDE9D9"/>
      </patternFill>
    </fill>
    <fill>
      <patternFill patternType="solid">
        <fgColor rgb="FFEBFAE0"/>
        <bgColor rgb="FFEBFAE0"/>
      </patternFill>
    </fill>
    <fill>
      <patternFill patternType="solid">
        <fgColor theme="0"/>
        <bgColor theme="0"/>
      </patternFill>
    </fill>
  </fills>
  <borders count="17">
    <border/>
    <border>
      <left/>
      <top/>
      <bottom/>
    </border>
    <border>
      <left style="thin">
        <color rgb="FF8EA9C1"/>
      </left>
      <top style="thin">
        <color rgb="FF8EA9C1"/>
      </top>
      <bottom style="thin">
        <color rgb="FF8EA9C1"/>
      </bottom>
    </border>
    <border>
      <top/>
      <bottom/>
    </border>
    <border>
      <top style="thin">
        <color rgb="FF8EA9C1"/>
      </top>
      <bottom style="thin">
        <color rgb="FF8EA9C1"/>
      </bottom>
    </border>
    <border>
      <right/>
      <top/>
      <bottom/>
    </border>
    <border>
      <right/>
      <top style="thin">
        <color rgb="FF8EA9C1"/>
      </top>
      <bottom style="thin">
        <color rgb="FF8EA9C1"/>
      </bottom>
    </border>
    <border>
      <left style="thin">
        <color rgb="FFFFFFFF"/>
      </left>
      <right style="thin">
        <color rgb="FFFFFFFF"/>
      </right>
      <top style="thin">
        <color rgb="FFFFFFFF"/>
      </top>
      <bottom style="thin">
        <color rgb="FFFFFFFF"/>
      </bottom>
    </border>
    <border>
      <left style="thin">
        <color rgb="FFAAAAAA"/>
      </left>
      <right style="thin">
        <color rgb="FFAAAAAA"/>
      </right>
      <top style="thin">
        <color rgb="FFAAAAAA"/>
      </top>
      <bottom style="thin">
        <color rgb="FFAAAAAA"/>
      </bottom>
    </border>
    <border>
      <left/>
      <right/>
      <bottom/>
    </border>
    <border>
      <left/>
      <right/>
      <top/>
      <bottom/>
    </border>
    <border>
      <left style="thin">
        <color rgb="FF8EA9C1"/>
      </left>
      <right style="thin">
        <color rgb="FF8EA9C1"/>
      </right>
      <top style="thin">
        <color rgb="FF8EA9C1"/>
      </top>
      <bottom style="thin">
        <color rgb="FF8EA9C1"/>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2" fillId="0" fontId="4" numFmtId="0" xfId="0" applyAlignment="1" applyBorder="1" applyFont="1">
      <alignment horizontal="center" shrinkToFit="0" vertical="center" wrapText="1"/>
    </xf>
    <xf borderId="1" fillId="4" fontId="5" numFmtId="0" xfId="0" applyAlignment="1" applyBorder="1" applyFill="1" applyFont="1">
      <alignment horizontal="center" readingOrder="0" shrinkToFit="0" vertical="center" wrapText="1"/>
    </xf>
    <xf borderId="2" fillId="5" fontId="6" numFmtId="0" xfId="0" applyAlignment="1" applyBorder="1" applyFill="1" applyFont="1">
      <alignment shrinkToFit="0" wrapText="1"/>
    </xf>
    <xf borderId="7" fillId="2" fontId="7" numFmtId="0" xfId="0" applyAlignment="1" applyBorder="1" applyFill="1" applyFont="1">
      <alignment horizontal="center" shrinkToFit="0" vertical="center" wrapText="1"/>
    </xf>
    <xf borderId="2" fillId="6" fontId="8" numFmtId="0" xfId="0" applyAlignment="1" applyBorder="1" applyFill="1" applyFont="1">
      <alignment shrinkToFit="0" wrapText="1"/>
    </xf>
    <xf borderId="2" fillId="7" fontId="8" numFmtId="0" xfId="0" applyAlignment="1" applyBorder="1" applyFill="1" applyFont="1">
      <alignment shrinkToFit="0" wrapText="1"/>
    </xf>
    <xf borderId="8" fillId="8" fontId="9" numFmtId="0" xfId="0" applyAlignment="1" applyBorder="1" applyFill="1" applyFont="1">
      <alignment horizontal="center" shrinkToFit="0" vertical="top" wrapText="1"/>
    </xf>
    <xf borderId="8" fillId="8" fontId="9" numFmtId="0" xfId="0" applyAlignment="1" applyBorder="1" applyFill="1" applyFont="1">
      <alignment shrinkToFit="0" vertical="top" wrapText="1"/>
    </xf>
    <xf borderId="9" fillId="6" fontId="10" numFmtId="0" xfId="0" applyAlignment="1" applyBorder="1" applyFill="1" applyFont="1">
      <alignment horizontal="left" shrinkToFit="0" vertical="center" wrapText="1"/>
    </xf>
    <xf borderId="10" fillId="6" fontId="10" numFmtId="0" xfId="0" applyAlignment="1" applyBorder="1" applyFill="1" applyFont="1">
      <alignment horizontal="left" shrinkToFit="0" vertical="center" wrapText="1"/>
    </xf>
    <xf borderId="8" fillId="9" fontId="9" numFmtId="0" xfId="0" applyAlignment="1" applyBorder="1" applyFill="1" applyFont="1">
      <alignment horizontal="center"/>
    </xf>
    <xf borderId="2" fillId="5" fontId="6" numFmtId="0" xfId="0" applyAlignment="1" applyBorder="1" applyFill="1" applyFont="1">
      <alignment horizontal="left" shrinkToFit="0" vertical="center" wrapText="1"/>
    </xf>
    <xf borderId="8" fillId="0" fontId="9" numFmtId="0" xfId="0" applyAlignment="1" applyBorder="1" applyFont="1">
      <alignment horizontal="center" shrinkToFit="0" wrapText="1"/>
    </xf>
    <xf borderId="8" fillId="8" fontId="9" numFmtId="0" xfId="0" applyAlignment="1" applyBorder="1" applyFill="1" applyFont="1">
      <alignment horizontal="center" shrinkToFit="0" wrapText="1"/>
    </xf>
    <xf borderId="0" fillId="0" fontId="11" numFmtId="0" xfId="0" applyFont="1"/>
    <xf borderId="2" fillId="6" fontId="12" numFmtId="0" xfId="0" applyAlignment="1" applyBorder="1" applyFill="1" applyFont="1">
      <alignment horizontal="left" shrinkToFit="0" vertical="center" wrapText="1"/>
    </xf>
    <xf borderId="8" fillId="0" fontId="9" numFmtId="0" xfId="0" applyAlignment="1" applyBorder="1" applyFont="1">
      <alignment horizontal="center" shrinkToFit="0" vertical="top" wrapText="1"/>
    </xf>
    <xf borderId="8" fillId="7" fontId="9" numFmtId="0" xfId="0" applyAlignment="1" applyBorder="1" applyFill="1" applyFont="1">
      <alignment horizontal="center" shrinkToFit="0" vertical="top" wrapText="1"/>
    </xf>
    <xf borderId="11" fillId="3" fontId="6" numFmtId="0" xfId="0" applyAlignment="1" applyBorder="1" applyFill="1" applyFont="1">
      <alignment horizontal="center" shrinkToFit="0" vertical="center" wrapText="1"/>
    </xf>
    <xf borderId="8" fillId="0" fontId="9" numFmtId="0" xfId="0" applyAlignment="1" applyBorder="1" applyFont="1">
      <alignment shrinkToFit="0" vertical="top" wrapText="1"/>
    </xf>
    <xf borderId="8" fillId="7" fontId="9" numFmtId="0" xfId="0" applyAlignment="1" applyBorder="1" applyFill="1" applyFont="1">
      <alignment shrinkToFit="0" vertical="top" wrapText="1"/>
    </xf>
    <xf borderId="2" fillId="3" fontId="6" numFmtId="0" xfId="0" applyAlignment="1" applyBorder="1" applyFill="1" applyFont="1">
      <alignment horizontal="center" shrinkToFit="0" vertical="center" wrapText="1"/>
    </xf>
    <xf borderId="8" fillId="0" fontId="13" numFmtId="0" xfId="0" applyAlignment="1" applyBorder="1" applyFont="1">
      <alignment readingOrder="0"/>
    </xf>
    <xf borderId="11" fillId="6" fontId="14" numFmtId="0" xfId="0" applyAlignment="1" applyBorder="1" applyFill="1" applyFont="1">
      <alignment horizontal="left" shrinkToFit="0" vertical="center" wrapText="1"/>
    </xf>
    <xf borderId="11" fillId="10" fontId="14" numFmtId="0" xfId="0" applyAlignment="1" applyBorder="1" applyFill="1" applyFont="1">
      <alignment horizontal="center" shrinkToFit="0" vertical="center" wrapText="1"/>
    </xf>
    <xf borderId="11" fillId="11" fontId="10" numFmtId="0" xfId="0" applyAlignment="1" applyBorder="1" applyFill="1" applyFont="1">
      <alignment horizontal="center" shrinkToFit="0" vertical="center" wrapText="1"/>
    </xf>
    <xf borderId="11" fillId="12" fontId="10" numFmtId="0" xfId="0" applyAlignment="1" applyBorder="1" applyFill="1" applyFont="1">
      <alignment horizontal="center" shrinkToFit="0" vertical="center" wrapText="1"/>
    </xf>
    <xf borderId="11" fillId="6" fontId="10" numFmtId="0" xfId="0" applyAlignment="1" applyBorder="1" applyFill="1" applyFont="1">
      <alignment horizontal="center" shrinkToFit="0" vertical="center" wrapText="1"/>
    </xf>
    <xf borderId="2" fillId="6" fontId="10" numFmtId="0" xfId="0" applyAlignment="1" applyBorder="1" applyFill="1" applyFont="1">
      <alignment horizontal="left" shrinkToFit="0" vertical="center" wrapText="1"/>
    </xf>
    <xf borderId="11" fillId="7" fontId="14" numFmtId="0" xfId="0" applyAlignment="1" applyBorder="1" applyFill="1" applyFont="1">
      <alignment horizontal="left" shrinkToFit="0" vertical="center" wrapText="1"/>
    </xf>
    <xf borderId="11" fillId="7" fontId="10" numFmtId="0" xfId="0" applyAlignment="1" applyBorder="1" applyFill="1" applyFont="1">
      <alignment horizontal="center" shrinkToFit="0" vertical="center" wrapText="1"/>
    </xf>
    <xf borderId="8" fillId="13" fontId="9" numFmtId="0" xfId="0" applyAlignment="1" applyBorder="1" applyFill="1" applyFont="1">
      <alignment horizontal="center" shrinkToFit="0" vertical="top" wrapText="1"/>
    </xf>
    <xf borderId="2" fillId="7" fontId="10" numFmtId="0" xfId="0" applyAlignment="1" applyBorder="1" applyFill="1" applyFont="1">
      <alignment horizontal="left" shrinkToFit="0" vertical="center" wrapText="1"/>
    </xf>
    <xf borderId="8" fillId="13" fontId="9" numFmtId="0" xfId="0" applyAlignment="1" applyBorder="1" applyFill="1" applyFont="1">
      <alignment shrinkToFit="0" vertical="top" wrapText="1"/>
    </xf>
    <xf borderId="8" fillId="13" fontId="13" numFmtId="0" xfId="0" applyAlignment="1" applyBorder="1" applyFill="1" applyFont="1">
      <alignment readingOrder="0"/>
    </xf>
    <xf borderId="0" fillId="0" fontId="15" numFmtId="0" xfId="0" applyFont="1"/>
    <xf borderId="11" fillId="6" fontId="14" numFmtId="0" xfId="0" applyAlignment="1" applyBorder="1" applyFill="1" applyFont="1">
      <alignment horizontal="center" shrinkToFit="0" vertical="center" wrapText="1"/>
    </xf>
    <xf borderId="8" fillId="8" fontId="13" numFmtId="0" xfId="0" applyAlignment="1" applyBorder="1" applyFill="1" applyFont="1">
      <alignment readingOrder="0"/>
    </xf>
    <xf borderId="11" fillId="6" fontId="10" numFmtId="0" xfId="0" applyAlignment="1" applyBorder="1" applyFill="1" applyFont="1">
      <alignment horizontal="left" shrinkToFit="0" vertical="center" wrapText="1"/>
    </xf>
    <xf borderId="11" fillId="14" fontId="10" numFmtId="0" xfId="0" applyAlignment="1" applyBorder="1" applyFill="1" applyFont="1">
      <alignment horizontal="center" shrinkToFit="0" vertical="center" wrapText="1"/>
    </xf>
    <xf borderId="11" fillId="15" fontId="10" numFmtId="0" xfId="0" applyAlignment="1" applyBorder="1" applyFill="1" applyFont="1">
      <alignment horizontal="center" shrinkToFit="0" vertical="center" wrapText="1"/>
    </xf>
    <xf borderId="11" fillId="10" fontId="10" numFmtId="0" xfId="0" applyAlignment="1" applyBorder="1" applyFill="1" applyFont="1">
      <alignment horizontal="center" shrinkToFit="0" vertical="center" wrapText="1"/>
    </xf>
    <xf borderId="8" fillId="7" fontId="13" numFmtId="0" xfId="0" applyAlignment="1" applyBorder="1" applyFill="1" applyFont="1">
      <alignment readingOrder="0"/>
    </xf>
    <xf borderId="11" fillId="7" fontId="14" numFmtId="0" xfId="0" applyAlignment="1" applyBorder="1" applyFill="1" applyFont="1">
      <alignment horizontal="center" shrinkToFit="0" vertical="center" wrapText="1"/>
    </xf>
    <xf borderId="11" fillId="7" fontId="10" numFmtId="0" xfId="0" applyAlignment="1" applyBorder="1" applyFill="1" applyFont="1">
      <alignment horizontal="left" shrinkToFit="0" vertical="center" wrapText="1"/>
    </xf>
    <xf borderId="0" fillId="0" fontId="16" numFmtId="0" xfId="0" applyFont="1"/>
    <xf borderId="12" fillId="5" fontId="6" numFmtId="0" xfId="0" applyAlignment="1" applyBorder="1" applyFill="1" applyFont="1">
      <alignment horizontal="left" shrinkToFit="0" vertical="center" wrapText="1"/>
    </xf>
    <xf borderId="13" fillId="0" fontId="3" numFmtId="0" xfId="0" applyBorder="1" applyFont="1"/>
    <xf borderId="14" fillId="0" fontId="3" numFmtId="0" xfId="0" applyBorder="1" applyFont="1"/>
    <xf borderId="12" fillId="5" fontId="6" numFmtId="0" xfId="0" applyAlignment="1" applyBorder="1" applyFill="1" applyFont="1">
      <alignment horizontal="left" readingOrder="0" shrinkToFit="0" vertical="center" wrapText="1"/>
    </xf>
    <xf borderId="15" fillId="3" fontId="6" numFmtId="0" xfId="0" applyAlignment="1" applyBorder="1" applyFill="1" applyFont="1">
      <alignment horizontal="center" shrinkToFit="0" vertical="center" wrapText="1"/>
    </xf>
    <xf borderId="15" fillId="7" fontId="10" numFmtId="0" xfId="0" applyAlignment="1" applyBorder="1" applyFill="1" applyFont="1">
      <alignment horizontal="center" shrinkToFit="0" vertical="center" wrapText="1"/>
    </xf>
    <xf borderId="15" fillId="7" fontId="10" numFmtId="0" xfId="0" applyAlignment="1" applyBorder="1" applyFill="1" applyFont="1">
      <alignment horizontal="left" shrinkToFit="0" vertical="center" wrapText="1"/>
    </xf>
    <xf borderId="15" fillId="7" fontId="14" numFmtId="0" xfId="0" applyAlignment="1" applyBorder="1" applyFill="1" applyFont="1">
      <alignment horizontal="center" shrinkToFit="0" vertical="center" wrapText="1"/>
    </xf>
    <xf borderId="15" fillId="6" fontId="10" numFmtId="0" xfId="0" applyAlignment="1" applyBorder="1" applyFill="1" applyFont="1">
      <alignment horizontal="center" shrinkToFit="0" vertical="center" wrapText="1"/>
    </xf>
    <xf borderId="15" fillId="6" fontId="10" numFmtId="0" xfId="0" applyAlignment="1" applyBorder="1" applyFill="1" applyFont="1">
      <alignment horizontal="left" shrinkToFit="0" vertical="center" wrapText="1"/>
    </xf>
    <xf borderId="15" fillId="6" fontId="14" numFmtId="0" xfId="0" applyAlignment="1" applyBorder="1" applyFill="1" applyFont="1">
      <alignment horizontal="center" shrinkToFit="0" vertical="center" wrapText="1"/>
    </xf>
    <xf borderId="0" fillId="0" fontId="17" numFmtId="0" xfId="0" applyAlignment="1" applyFont="1">
      <alignment horizontal="center" shrinkToFit="0" vertical="center" wrapText="1"/>
    </xf>
    <xf borderId="0" fillId="0" fontId="18" numFmtId="0" xfId="0" applyAlignment="1" applyFont="1">
      <alignment horizontal="left" shrinkToFit="0" vertical="center" wrapText="1"/>
    </xf>
    <xf borderId="0" fillId="0" fontId="19" numFmtId="0" xfId="0" applyAlignment="1" applyFont="1">
      <alignment horizontal="left" readingOrder="0" shrinkToFit="0" vertical="center" wrapText="1"/>
    </xf>
    <xf borderId="2" fillId="0" fontId="20" numFmtId="0" xfId="0" applyAlignment="1" applyBorder="1" applyFont="1">
      <alignment horizontal="left" shrinkToFit="0" vertical="center" wrapText="1"/>
    </xf>
    <xf borderId="11" fillId="0" fontId="21" numFmtId="0" xfId="0" applyAlignment="1" applyBorder="1" applyFont="1">
      <alignment horizontal="center" shrinkToFit="0" vertical="center" wrapText="1"/>
    </xf>
    <xf borderId="11" fillId="0" fontId="22" numFmtId="0" xfId="0" applyAlignment="1" applyBorder="1" applyFont="1">
      <alignment horizontal="center" shrinkToFit="0" vertical="center" wrapText="1"/>
    </xf>
    <xf borderId="11" fillId="0" fontId="22" numFmtId="0" xfId="0" applyAlignment="1" applyBorder="1" applyFont="1">
      <alignment horizontal="left" shrinkToFit="0" vertical="center" wrapText="1"/>
    </xf>
    <xf borderId="11" fillId="0" fontId="23" numFmtId="0" xfId="0" applyAlignment="1" applyBorder="1" applyFont="1">
      <alignment horizontal="center" shrinkToFit="0" vertical="center" wrapText="1"/>
    </xf>
    <xf borderId="8" fillId="7" fontId="9" numFmtId="0" xfId="0" applyAlignment="1" applyBorder="1" applyFill="1" applyFont="1">
      <alignment shrinkToFit="0" vertical="center" wrapText="1"/>
    </xf>
    <xf borderId="8" fillId="0" fontId="24" numFmtId="164" xfId="0" applyAlignment="1" applyBorder="1" applyFont="1" applyNumberFormat="1">
      <alignment horizontal="center" vertical="top"/>
    </xf>
    <xf borderId="8" fillId="0" fontId="9" numFmtId="20" xfId="0" applyAlignment="1" applyBorder="1" applyFont="1" applyNumberFormat="1">
      <alignment horizontal="center" shrinkToFit="0" vertical="top" wrapText="1"/>
    </xf>
    <xf borderId="8" fillId="8" fontId="24" numFmtId="0" xfId="0" applyAlignment="1" applyBorder="1" applyFill="1" applyFont="1">
      <alignment horizontal="center" shrinkToFit="0" vertical="top" wrapText="1"/>
    </xf>
    <xf borderId="8" fillId="8" fontId="24" numFmtId="0" xfId="0" applyAlignment="1" applyBorder="1" applyFill="1" applyFont="1">
      <alignment shrinkToFit="0" vertical="top" wrapText="1"/>
    </xf>
    <xf borderId="16" fillId="8" fontId="9" numFmtId="0" xfId="0" applyAlignment="1" applyBorder="1" applyFill="1" applyFont="1">
      <alignment horizontal="center" shrinkToFit="0" vertical="top" wrapText="1"/>
    </xf>
    <xf borderId="16" fillId="13" fontId="24" numFmtId="164" xfId="0" applyAlignment="1" applyBorder="1" applyFill="1" applyFont="1" applyNumberFormat="1">
      <alignment horizontal="center" vertical="top"/>
    </xf>
    <xf borderId="16" fillId="8" fontId="9" numFmtId="20" xfId="0" applyAlignment="1" applyBorder="1" applyFill="1" applyFont="1" applyNumberFormat="1">
      <alignment horizontal="center" shrinkToFit="0" vertical="top" wrapText="1"/>
    </xf>
    <xf borderId="16" fillId="8" fontId="9" numFmtId="0" xfId="0" applyAlignment="1" applyBorder="1" applyFill="1" applyFont="1">
      <alignment shrinkToFit="0" vertical="top" wrapText="1"/>
    </xf>
    <xf borderId="8" fillId="7" fontId="24" numFmtId="0" xfId="0" applyAlignment="1" applyBorder="1" applyFill="1" applyFont="1">
      <alignment horizontal="center" shrinkToFit="0" vertical="top" wrapText="1"/>
    </xf>
    <xf borderId="8" fillId="7" fontId="24" numFmtId="0" xfId="0" applyAlignment="1" applyBorder="1" applyFill="1" applyFont="1">
      <alignment shrinkToFit="0" vertical="top" wrapText="1"/>
    </xf>
    <xf borderId="16" fillId="13" fontId="13" numFmtId="0" xfId="0" applyAlignment="1" applyBorder="1" applyFill="1" applyFont="1">
      <alignment readingOrder="0"/>
    </xf>
    <xf borderId="16" fillId="9" fontId="9" numFmtId="0" xfId="0" applyAlignment="1" applyBorder="1" applyFill="1" applyFont="1">
      <alignment horizontal="center"/>
    </xf>
    <xf borderId="15" fillId="7" fontId="9" numFmtId="0" xfId="0" applyAlignment="1" applyBorder="1" applyFill="1" applyFont="1">
      <alignment horizontal="center" shrinkToFit="0" vertical="top" wrapText="1"/>
    </xf>
    <xf borderId="15" fillId="0" fontId="24" numFmtId="164" xfId="0" applyAlignment="1" applyBorder="1" applyFont="1" applyNumberFormat="1">
      <alignment horizontal="center" vertical="top"/>
    </xf>
    <xf borderId="15" fillId="0" fontId="9" numFmtId="0" xfId="0" applyAlignment="1" applyBorder="1" applyFont="1">
      <alignment horizontal="center" shrinkToFit="0" vertical="top" wrapText="1"/>
    </xf>
    <xf borderId="15" fillId="0" fontId="9" numFmtId="0" xfId="0" applyAlignment="1" applyBorder="1" applyFont="1">
      <alignment shrinkToFit="0" vertical="top" wrapText="1"/>
    </xf>
    <xf borderId="15" fillId="0" fontId="13" numFmtId="0" xfId="0" applyAlignment="1" applyBorder="1" applyFont="1">
      <alignment readingOrder="0"/>
    </xf>
    <xf borderId="15" fillId="9" fontId="9" numFmtId="0" xfId="0" applyAlignment="1" applyBorder="1" applyFill="1" applyFont="1">
      <alignment horizontal="center"/>
    </xf>
    <xf borderId="0" fillId="0" fontId="25" numFmtId="0" xfId="0" applyAlignment="1" applyFont="1">
      <alignment horizontal="center" shrinkToFit="0" vertical="top" wrapText="1"/>
    </xf>
    <xf borderId="0" fillId="0" fontId="25" numFmtId="0" xfId="0" applyAlignment="1" applyFont="1">
      <alignment horizontal="left" shrinkToFit="0" vertical="top" wrapText="1"/>
    </xf>
    <xf borderId="0" fillId="0" fontId="25" numFmtId="0" xfId="0" applyAlignment="1" applyFont="1">
      <alignment horizontal="left" readingOrder="0" shrinkToFit="0" vertical="top" wrapText="1"/>
    </xf>
    <xf borderId="8" fillId="13" fontId="24" numFmtId="0" xfId="0" applyAlignment="1" applyBorder="1" applyFill="1" applyFont="1">
      <alignment horizontal="center" shrinkToFit="0" vertical="top" wrapText="1"/>
    </xf>
    <xf borderId="0" fillId="0" fontId="25" numFmtId="0" xfId="0" applyAlignment="1" applyFont="1">
      <alignment horizontal="center" vertical="center"/>
    </xf>
    <xf borderId="8" fillId="13" fontId="24" numFmtId="0" xfId="0" applyAlignment="1" applyBorder="1" applyFill="1" applyFont="1">
      <alignment shrinkToFit="0" vertical="top" wrapText="1"/>
    </xf>
    <xf borderId="8" fillId="0" fontId="24" numFmtId="0" xfId="0" applyAlignment="1" applyBorder="1" applyFont="1">
      <alignment horizontal="center" shrinkToFit="0" vertical="top" wrapText="1"/>
    </xf>
    <xf borderId="8" fillId="0" fontId="24" numFmtId="0" xfId="0" applyAlignment="1" applyBorder="1" applyFont="1">
      <alignment shrinkToFit="0" vertical="top" wrapText="1"/>
    </xf>
    <xf borderId="0" fillId="0" fontId="25" numFmtId="0" xfId="0" applyAlignment="1" applyFont="1">
      <alignment horizontal="center" shrinkToFit="0" vertical="center" wrapText="1"/>
    </xf>
    <xf borderId="15" fillId="0" fontId="9" numFmtId="20" xfId="0" applyAlignment="1" applyBorder="1" applyFont="1" applyNumberFormat="1">
      <alignment horizontal="center" shrinkToFit="0" vertical="top" wrapText="1"/>
    </xf>
    <xf borderId="8" fillId="0" fontId="24" numFmtId="20" xfId="0" applyAlignment="1" applyBorder="1" applyFont="1" applyNumberFormat="1">
      <alignment horizontal="center" shrinkToFit="0" vertical="top" wrapText="1"/>
    </xf>
    <xf borderId="15" fillId="8" fontId="9" numFmtId="20" xfId="0" applyAlignment="1" applyBorder="1" applyFill="1" applyFont="1" applyNumberFormat="1">
      <alignment horizontal="center" shrinkToFit="0" vertical="top" wrapText="1"/>
    </xf>
    <xf borderId="0" fillId="0" fontId="25" numFmtId="165" xfId="0" applyAlignment="1" applyFont="1" applyNumberFormat="1">
      <alignment horizontal="center" shrinkToFit="0" vertical="top" wrapText="1"/>
    </xf>
    <xf borderId="0" fillId="0" fontId="25" numFmtId="20" xfId="0" applyAlignment="1" applyFont="1" applyNumberFormat="1">
      <alignment horizontal="center" shrinkToFit="0" vertical="top" wrapText="1"/>
    </xf>
    <xf borderId="16" fillId="13" fontId="24" numFmtId="20" xfId="0" applyAlignment="1" applyBorder="1" applyFill="1" applyFont="1" applyNumberFormat="1">
      <alignment horizontal="center" shrinkToFit="0" vertical="top" wrapText="1"/>
    </xf>
    <xf borderId="16" fillId="13" fontId="24" numFmtId="0" xfId="0" applyAlignment="1" applyBorder="1" applyFill="1" applyFont="1">
      <alignment shrinkToFit="0" vertical="top" wrapText="1"/>
    </xf>
    <xf borderId="15" fillId="8" fontId="9" numFmtId="0" xfId="0" applyAlignment="1" applyBorder="1" applyFill="1" applyFont="1">
      <alignment shrinkToFit="0" vertical="top" wrapText="1"/>
    </xf>
    <xf borderId="9" fillId="16" fontId="25" numFmtId="0" xfId="0" applyAlignment="1" applyBorder="1" applyFill="1" applyFont="1">
      <alignment horizontal="center" shrinkToFit="0" vertical="top" wrapText="1"/>
    </xf>
    <xf borderId="9" fillId="16" fontId="25" numFmtId="0" xfId="0" applyAlignment="1" applyBorder="1" applyFill="1" applyFont="1">
      <alignment horizontal="left" shrinkToFit="0" vertical="top" wrapText="1"/>
    </xf>
    <xf borderId="9" fillId="16" fontId="25" numFmtId="0" xfId="0" applyAlignment="1" applyBorder="1" applyFill="1" applyFont="1">
      <alignment horizontal="center" vertical="top"/>
    </xf>
    <xf borderId="15" fillId="0" fontId="24" numFmtId="20" xfId="0" applyAlignment="1" applyBorder="1" applyFont="1" applyNumberFormat="1">
      <alignment horizontal="center" shrinkToFit="0" vertical="top" wrapText="1"/>
    </xf>
    <xf borderId="15" fillId="0" fontId="24" numFmtId="0" xfId="0" applyAlignment="1" applyBorder="1" applyFont="1">
      <alignment shrinkToFit="0" vertical="top" wrapText="1"/>
    </xf>
    <xf borderId="10" fillId="16" fontId="25" numFmtId="0" xfId="0" applyAlignment="1" applyBorder="1" applyFill="1" applyFont="1">
      <alignment horizontal="center" shrinkToFit="0" vertical="top" wrapText="1"/>
    </xf>
    <xf borderId="10" fillId="16" fontId="25" numFmtId="0" xfId="0" applyAlignment="1" applyBorder="1" applyFill="1" applyFont="1">
      <alignment horizontal="left" shrinkToFit="0" vertical="top" wrapText="1"/>
    </xf>
    <xf borderId="10" fillId="16" fontId="25" numFmtId="0" xfId="0" applyAlignment="1" applyBorder="1" applyFill="1" applyFont="1">
      <alignment horizontal="center" vertical="top"/>
    </xf>
    <xf borderId="0" fillId="0" fontId="11" numFmtId="0" xfId="0" applyAlignment="1" applyFont="1">
      <alignment readingOrder="0"/>
    </xf>
    <xf borderId="0" fillId="0" fontId="26" numFmtId="165" xfId="0" applyAlignment="1" applyFont="1" applyNumberFormat="1">
      <alignment horizontal="center" shrinkToFit="0" vertical="top" wrapText="1"/>
    </xf>
    <xf borderId="0" fillId="0" fontId="25"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43"/>
    <col customWidth="1" min="2" max="2" width="28.0"/>
    <col customWidth="1" min="3" max="3" width="52.0"/>
    <col customWidth="1" min="4" max="8" width="14.0"/>
    <col customWidth="1" min="9" max="26" width="8.71"/>
  </cols>
  <sheetData>
    <row r="1" ht="31.5" customHeight="1">
      <c r="A1" s="2" t="s">
        <v>1</v>
      </c>
      <c r="B1" s="4"/>
      <c r="C1" s="4"/>
      <c r="D1" s="4"/>
      <c r="E1" s="4"/>
      <c r="F1" s="4"/>
      <c r="G1" s="4"/>
      <c r="H1" s="6"/>
    </row>
    <row r="2" ht="21.75" customHeight="1">
      <c r="A2" s="7" t="s">
        <v>5</v>
      </c>
      <c r="B2" s="4"/>
      <c r="C2" s="4"/>
      <c r="D2" s="4"/>
      <c r="E2" s="4"/>
      <c r="F2" s="4"/>
      <c r="G2" s="4"/>
      <c r="H2" s="4"/>
    </row>
    <row r="4" ht="21.75" customHeight="1">
      <c r="A4" s="9" t="s">
        <v>8</v>
      </c>
      <c r="B4" s="4"/>
      <c r="C4" s="4"/>
      <c r="D4" s="4"/>
      <c r="E4" s="4"/>
      <c r="F4" s="4"/>
      <c r="G4" s="4"/>
      <c r="H4" s="6"/>
    </row>
    <row r="5" ht="18.0" customHeight="1">
      <c r="A5" s="11" t="s">
        <v>11</v>
      </c>
      <c r="B5" s="4"/>
      <c r="C5" s="4"/>
      <c r="D5" s="4"/>
      <c r="E5" s="4"/>
      <c r="F5" s="4"/>
      <c r="G5" s="4"/>
      <c r="H5" s="6"/>
    </row>
    <row r="6" ht="18.0" customHeight="1">
      <c r="A6" s="12" t="s">
        <v>20</v>
      </c>
      <c r="B6" s="4"/>
      <c r="C6" s="4"/>
      <c r="D6" s="4"/>
      <c r="E6" s="4"/>
      <c r="F6" s="4"/>
      <c r="G6" s="4"/>
      <c r="H6" s="6"/>
    </row>
    <row r="7" ht="18.0" customHeight="1">
      <c r="A7" s="11" t="s">
        <v>23</v>
      </c>
      <c r="B7" s="4"/>
      <c r="C7" s="4"/>
      <c r="D7" s="4"/>
      <c r="E7" s="4"/>
      <c r="F7" s="4"/>
      <c r="G7" s="4"/>
      <c r="H7" s="6"/>
    </row>
    <row r="8" ht="18.0" customHeight="1">
      <c r="A8" s="12" t="s">
        <v>25</v>
      </c>
      <c r="B8" s="4"/>
      <c r="C8" s="4"/>
      <c r="D8" s="4"/>
      <c r="E8" s="4"/>
      <c r="F8" s="4"/>
      <c r="G8" s="4"/>
      <c r="H8" s="6"/>
    </row>
    <row r="9" ht="18.0" customHeight="1">
      <c r="A9" s="12" t="s">
        <v>27</v>
      </c>
      <c r="B9" s="4"/>
      <c r="C9" s="4"/>
      <c r="D9" s="4"/>
      <c r="E9" s="4"/>
      <c r="F9" s="4"/>
      <c r="G9" s="4"/>
      <c r="H9" s="6"/>
    </row>
    <row r="10" ht="18.0" customHeight="1">
      <c r="A10" s="11" t="s">
        <v>29</v>
      </c>
      <c r="B10" s="4"/>
      <c r="C10" s="4"/>
      <c r="D10" s="4"/>
      <c r="E10" s="4"/>
      <c r="F10" s="4"/>
      <c r="G10" s="4"/>
      <c r="H10" s="6"/>
    </row>
    <row r="11" ht="18.0" customHeight="1">
      <c r="A11" s="15"/>
      <c r="B11" s="15"/>
      <c r="C11" s="15"/>
      <c r="D11" s="15"/>
      <c r="E11" s="15"/>
      <c r="F11" s="15"/>
      <c r="G11" s="15"/>
      <c r="H11" s="15"/>
    </row>
    <row r="12">
      <c r="A12" s="16"/>
      <c r="B12" s="16"/>
      <c r="C12" s="16"/>
      <c r="D12" s="16"/>
      <c r="E12" s="16"/>
      <c r="F12" s="16"/>
      <c r="G12" s="16"/>
      <c r="H12" s="16"/>
    </row>
    <row r="13" ht="21.75" customHeight="1">
      <c r="A13" s="18" t="s">
        <v>30</v>
      </c>
      <c r="B13" s="4"/>
      <c r="C13" s="4"/>
      <c r="D13" s="4"/>
      <c r="E13" s="4"/>
      <c r="F13" s="4"/>
      <c r="G13" s="4"/>
      <c r="H13" s="6"/>
    </row>
    <row r="14" ht="19.5" customHeight="1">
      <c r="A14" s="22" t="s">
        <v>31</v>
      </c>
      <c r="B14" s="4"/>
      <c r="C14" s="4"/>
      <c r="D14" s="4"/>
      <c r="E14" s="4"/>
      <c r="F14" s="4"/>
      <c r="G14" s="4"/>
      <c r="H14" s="6"/>
    </row>
    <row r="15" ht="34.5" customHeight="1">
      <c r="A15" s="25" t="s">
        <v>32</v>
      </c>
      <c r="B15" s="25" t="s">
        <v>35</v>
      </c>
      <c r="C15" s="25" t="s">
        <v>36</v>
      </c>
      <c r="D15" s="25" t="s">
        <v>37</v>
      </c>
      <c r="E15" s="25" t="s">
        <v>38</v>
      </c>
      <c r="F15" s="28" t="s">
        <v>40</v>
      </c>
      <c r="G15" s="4"/>
      <c r="H15" s="6"/>
    </row>
    <row r="16" ht="72.0" customHeight="1">
      <c r="A16" s="30" t="s">
        <v>46</v>
      </c>
      <c r="B16" s="31" t="s">
        <v>47</v>
      </c>
      <c r="C16" s="32" t="s">
        <v>48</v>
      </c>
      <c r="D16" s="33" t="s">
        <v>49</v>
      </c>
      <c r="E16" s="34" t="s">
        <v>50</v>
      </c>
      <c r="F16" s="35" t="s">
        <v>51</v>
      </c>
      <c r="G16" s="4"/>
      <c r="H16" s="6"/>
    </row>
    <row r="17" ht="72.0" customHeight="1">
      <c r="A17" s="36" t="s">
        <v>52</v>
      </c>
      <c r="B17" s="31" t="s">
        <v>53</v>
      </c>
      <c r="C17" s="32" t="s">
        <v>54</v>
      </c>
      <c r="D17" s="33" t="s">
        <v>55</v>
      </c>
      <c r="E17" s="37" t="s">
        <v>56</v>
      </c>
      <c r="F17" s="39" t="s">
        <v>57</v>
      </c>
      <c r="G17" s="4"/>
      <c r="H17" s="6"/>
    </row>
    <row r="18" ht="72.0" customHeight="1">
      <c r="A18" s="30" t="s">
        <v>60</v>
      </c>
      <c r="B18" s="31" t="s">
        <v>61</v>
      </c>
      <c r="C18" s="32" t="s">
        <v>62</v>
      </c>
      <c r="D18" s="33" t="s">
        <v>64</v>
      </c>
      <c r="E18" s="34" t="s">
        <v>56</v>
      </c>
      <c r="F18" s="35" t="s">
        <v>66</v>
      </c>
      <c r="G18" s="4"/>
      <c r="H18" s="6"/>
    </row>
    <row r="19">
      <c r="A19" s="16"/>
      <c r="B19" s="16"/>
      <c r="C19" s="16"/>
      <c r="D19" s="16"/>
      <c r="E19" s="16"/>
      <c r="F19" s="16"/>
      <c r="G19" s="16"/>
      <c r="H19" s="16"/>
    </row>
    <row r="20" ht="21.75" customHeight="1">
      <c r="A20" s="42"/>
      <c r="B20" s="42"/>
      <c r="C20" s="42"/>
      <c r="D20" s="42"/>
      <c r="E20" s="42"/>
      <c r="F20" s="42"/>
      <c r="G20" s="42"/>
      <c r="H20" s="42"/>
    </row>
    <row r="21" ht="19.5" customHeight="1">
      <c r="A21" s="18" t="s">
        <v>70</v>
      </c>
      <c r="B21" s="4"/>
      <c r="C21" s="4"/>
      <c r="D21" s="4"/>
      <c r="E21" s="4"/>
      <c r="F21" s="4"/>
      <c r="G21" s="4"/>
      <c r="H21" s="6"/>
    </row>
    <row r="22" ht="54.0" customHeight="1">
      <c r="A22" s="25" t="s">
        <v>9</v>
      </c>
      <c r="B22" s="25" t="s">
        <v>75</v>
      </c>
      <c r="C22" s="25" t="s">
        <v>77</v>
      </c>
      <c r="D22" s="25" t="s">
        <v>78</v>
      </c>
      <c r="E22" s="25" t="s">
        <v>79</v>
      </c>
      <c r="F22" s="25" t="s">
        <v>80</v>
      </c>
      <c r="G22" s="25" t="s">
        <v>81</v>
      </c>
      <c r="H22" s="25" t="s">
        <v>82</v>
      </c>
    </row>
    <row r="23" ht="121.5" customHeight="1">
      <c r="A23" s="43" t="s">
        <v>83</v>
      </c>
      <c r="B23" s="30" t="s">
        <v>84</v>
      </c>
      <c r="C23" s="45" t="s">
        <v>85</v>
      </c>
      <c r="D23" s="33" t="s">
        <v>86</v>
      </c>
      <c r="E23" s="46" t="s">
        <v>88</v>
      </c>
      <c r="F23" s="32" t="s">
        <v>90</v>
      </c>
      <c r="G23" s="47" t="s">
        <v>91</v>
      </c>
      <c r="H23" s="48" t="s">
        <v>93</v>
      </c>
    </row>
    <row r="24" ht="92.25" customHeight="1">
      <c r="A24" s="50" t="s">
        <v>97</v>
      </c>
      <c r="B24" s="36" t="s">
        <v>99</v>
      </c>
      <c r="C24" s="51" t="s">
        <v>100</v>
      </c>
      <c r="D24" s="33" t="s">
        <v>103</v>
      </c>
      <c r="E24" s="46" t="s">
        <v>104</v>
      </c>
      <c r="F24" s="32" t="s">
        <v>105</v>
      </c>
      <c r="G24" s="47" t="s">
        <v>106</v>
      </c>
      <c r="H24" s="48" t="s">
        <v>107</v>
      </c>
    </row>
    <row r="25" ht="107.25" customHeight="1">
      <c r="A25" s="43" t="s">
        <v>108</v>
      </c>
      <c r="B25" s="30" t="s">
        <v>18</v>
      </c>
      <c r="C25" s="45" t="s">
        <v>110</v>
      </c>
      <c r="D25" s="33" t="s">
        <v>111</v>
      </c>
      <c r="E25" s="46" t="s">
        <v>112</v>
      </c>
      <c r="F25" s="32" t="s">
        <v>114</v>
      </c>
      <c r="G25" s="47" t="s">
        <v>116</v>
      </c>
      <c r="H25" s="48" t="s">
        <v>118</v>
      </c>
    </row>
    <row r="26" ht="123.0" customHeight="1">
      <c r="A26" s="50" t="s">
        <v>119</v>
      </c>
      <c r="B26" s="36" t="s">
        <v>19</v>
      </c>
      <c r="C26" s="51" t="s">
        <v>123</v>
      </c>
      <c r="D26" s="33" t="s">
        <v>124</v>
      </c>
      <c r="E26" s="46" t="s">
        <v>125</v>
      </c>
      <c r="F26" s="32" t="s">
        <v>126</v>
      </c>
      <c r="G26" s="47" t="s">
        <v>128</v>
      </c>
      <c r="H26" s="48" t="s">
        <v>129</v>
      </c>
    </row>
    <row r="27" ht="15.75" customHeight="1">
      <c r="A27" s="52"/>
      <c r="B27" s="52"/>
      <c r="C27" s="52"/>
      <c r="D27" s="52"/>
      <c r="E27" s="52"/>
      <c r="F27" s="52"/>
      <c r="G27" s="52"/>
      <c r="H27" s="52"/>
    </row>
    <row r="28" ht="21.75" customHeight="1">
      <c r="A28" s="53"/>
      <c r="B28" s="54"/>
      <c r="C28" s="54"/>
      <c r="D28" s="54"/>
      <c r="E28" s="54"/>
      <c r="F28" s="54"/>
      <c r="G28" s="54"/>
      <c r="H28" s="55"/>
    </row>
    <row r="29" ht="31.5" customHeight="1">
      <c r="A29" s="56" t="s">
        <v>140</v>
      </c>
      <c r="B29" s="54"/>
      <c r="C29" s="54"/>
      <c r="D29" s="54"/>
      <c r="E29" s="54"/>
      <c r="F29" s="54"/>
      <c r="G29" s="54"/>
      <c r="H29" s="55"/>
    </row>
    <row r="30" ht="52.5" customHeight="1">
      <c r="A30" s="57" t="s">
        <v>9</v>
      </c>
      <c r="B30" s="57" t="s">
        <v>149</v>
      </c>
      <c r="C30" s="57" t="s">
        <v>150</v>
      </c>
      <c r="D30" s="57" t="s">
        <v>83</v>
      </c>
      <c r="E30" s="57" t="s">
        <v>97</v>
      </c>
      <c r="F30" s="57" t="s">
        <v>108</v>
      </c>
      <c r="G30" s="57" t="s">
        <v>119</v>
      </c>
      <c r="H30" s="57" t="s">
        <v>151</v>
      </c>
    </row>
    <row r="31" ht="54.0" customHeight="1">
      <c r="A31" s="58" t="s">
        <v>156</v>
      </c>
      <c r="B31" s="59" t="s">
        <v>161</v>
      </c>
      <c r="C31" s="59" t="s">
        <v>162</v>
      </c>
      <c r="D31" s="58" t="s">
        <v>163</v>
      </c>
      <c r="E31" s="58" t="s">
        <v>163</v>
      </c>
      <c r="F31" s="58" t="s">
        <v>163</v>
      </c>
      <c r="G31" s="58" t="s">
        <v>164</v>
      </c>
      <c r="H31" s="60" t="s">
        <v>163</v>
      </c>
    </row>
    <row r="32" ht="50.25" customHeight="1">
      <c r="A32" s="61" t="s">
        <v>168</v>
      </c>
      <c r="B32" s="62" t="s">
        <v>170</v>
      </c>
      <c r="C32" s="62" t="s">
        <v>172</v>
      </c>
      <c r="D32" s="61" t="s">
        <v>173</v>
      </c>
      <c r="E32" s="61" t="s">
        <v>173</v>
      </c>
      <c r="F32" s="61" t="s">
        <v>163</v>
      </c>
      <c r="G32" s="61" t="s">
        <v>173</v>
      </c>
      <c r="H32" s="63" t="s">
        <v>173</v>
      </c>
    </row>
    <row r="33" ht="42.75" customHeight="1">
      <c r="A33" s="58" t="s">
        <v>179</v>
      </c>
      <c r="B33" s="59" t="s">
        <v>180</v>
      </c>
      <c r="C33" s="59" t="s">
        <v>181</v>
      </c>
      <c r="D33" s="58" t="s">
        <v>173</v>
      </c>
      <c r="E33" s="58" t="s">
        <v>163</v>
      </c>
      <c r="F33" s="58" t="s">
        <v>163</v>
      </c>
      <c r="G33" s="58" t="s">
        <v>163</v>
      </c>
      <c r="H33" s="60" t="s">
        <v>163</v>
      </c>
    </row>
    <row r="34" ht="48.75" customHeight="1">
      <c r="A34" s="64"/>
      <c r="B34" s="65"/>
      <c r="C34" s="66"/>
    </row>
    <row r="35" ht="19.5" customHeight="1"/>
    <row r="36" ht="39.75" customHeight="1"/>
    <row r="37" ht="39.75" customHeight="1">
      <c r="A37" s="67"/>
      <c r="B37" s="4"/>
      <c r="C37" s="4"/>
      <c r="D37" s="4"/>
      <c r="E37" s="4"/>
      <c r="F37" s="4"/>
      <c r="G37" s="4"/>
      <c r="H37" s="6"/>
    </row>
    <row r="38" ht="39.75" customHeight="1">
      <c r="A38" s="68"/>
      <c r="B38" s="68"/>
      <c r="C38" s="68"/>
      <c r="D38" s="68"/>
      <c r="E38" s="68"/>
      <c r="F38" s="68"/>
      <c r="G38" s="68"/>
      <c r="H38" s="68"/>
    </row>
    <row r="39" ht="15.75" customHeight="1">
      <c r="A39" s="69"/>
      <c r="B39" s="70"/>
      <c r="C39" s="70"/>
      <c r="D39" s="69"/>
      <c r="E39" s="69"/>
      <c r="F39" s="69"/>
      <c r="G39" s="69"/>
      <c r="H39" s="71"/>
    </row>
    <row r="40" ht="15.75" customHeight="1">
      <c r="A40" s="69"/>
      <c r="B40" s="70"/>
      <c r="C40" s="70"/>
      <c r="D40" s="69"/>
      <c r="E40" s="69"/>
      <c r="F40" s="69"/>
      <c r="G40" s="69"/>
      <c r="H40" s="71"/>
    </row>
    <row r="41" ht="15.75" customHeight="1">
      <c r="A41" s="69"/>
      <c r="B41" s="70"/>
      <c r="C41" s="70"/>
      <c r="D41" s="69"/>
      <c r="E41" s="69"/>
      <c r="F41" s="69"/>
      <c r="G41" s="69"/>
      <c r="H41" s="71"/>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H1"/>
    <mergeCell ref="A2:H2"/>
    <mergeCell ref="A4:H4"/>
    <mergeCell ref="A5:H5"/>
    <mergeCell ref="A6:H6"/>
    <mergeCell ref="A7:H7"/>
    <mergeCell ref="A8:H8"/>
    <mergeCell ref="F18:H18"/>
    <mergeCell ref="A21:H21"/>
    <mergeCell ref="A28:H28"/>
    <mergeCell ref="A29:H29"/>
    <mergeCell ref="C34:H34"/>
    <mergeCell ref="A37:H37"/>
    <mergeCell ref="A9:H9"/>
    <mergeCell ref="A10:H10"/>
    <mergeCell ref="A13:H13"/>
    <mergeCell ref="A14:H14"/>
    <mergeCell ref="F15:H15"/>
    <mergeCell ref="F16:H16"/>
    <mergeCell ref="F17:H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4.43"/>
    <col customWidth="1" min="8" max="8" width="26.57"/>
    <col customWidth="1" min="9" max="9" width="30.43"/>
    <col customWidth="1" min="10" max="10" width="23.86"/>
    <col customWidth="1" min="11" max="11" width="20.14"/>
    <col customWidth="1" min="12" max="26" width="8.71"/>
  </cols>
  <sheetData>
    <row r="1" ht="30.0" customHeight="1">
      <c r="A1" s="1" t="s">
        <v>3</v>
      </c>
      <c r="B1" s="3"/>
      <c r="C1" s="3"/>
      <c r="D1" s="3"/>
      <c r="E1" s="3"/>
      <c r="F1" s="3"/>
      <c r="G1" s="3"/>
      <c r="H1" s="3"/>
      <c r="I1" s="3"/>
      <c r="J1" s="3"/>
      <c r="K1" s="3"/>
      <c r="L1" s="5"/>
    </row>
    <row r="2" ht="24.75" customHeight="1">
      <c r="A2" s="8" t="s">
        <v>6</v>
      </c>
      <c r="B2" s="3"/>
      <c r="C2" s="3"/>
      <c r="D2" s="3"/>
      <c r="E2" s="3"/>
      <c r="F2" s="3"/>
      <c r="G2" s="3"/>
      <c r="H2" s="3"/>
      <c r="I2" s="3"/>
      <c r="J2" s="3"/>
      <c r="K2" s="3"/>
      <c r="L2" s="5"/>
    </row>
    <row r="3" ht="7.5" customHeight="1"/>
    <row r="4" ht="50.25" customHeight="1">
      <c r="A4" s="10" t="s">
        <v>9</v>
      </c>
      <c r="B4" s="10" t="s">
        <v>10</v>
      </c>
      <c r="C4" s="10" t="s">
        <v>12</v>
      </c>
      <c r="D4" s="10" t="s">
        <v>13</v>
      </c>
      <c r="E4" s="10" t="s">
        <v>14</v>
      </c>
      <c r="F4" s="10" t="s">
        <v>15</v>
      </c>
      <c r="G4" s="10" t="s">
        <v>16</v>
      </c>
      <c r="H4" s="10" t="s">
        <v>17</v>
      </c>
      <c r="I4" s="10" t="s">
        <v>18</v>
      </c>
      <c r="J4" s="10" t="s">
        <v>19</v>
      </c>
      <c r="K4" s="10" t="s">
        <v>21</v>
      </c>
    </row>
    <row r="5" ht="42.0" customHeight="1">
      <c r="A5" s="13">
        <v>1.0</v>
      </c>
      <c r="B5" s="13" t="s">
        <v>22</v>
      </c>
      <c r="C5" s="13" t="s">
        <v>24</v>
      </c>
      <c r="D5" s="14" t="s">
        <v>26</v>
      </c>
      <c r="E5" s="14" t="s">
        <v>28</v>
      </c>
      <c r="F5" s="14" t="s">
        <v>28</v>
      </c>
      <c r="G5" s="17"/>
      <c r="H5" s="19"/>
      <c r="I5" s="17"/>
      <c r="J5" s="19"/>
      <c r="K5" s="17"/>
    </row>
    <row r="6" ht="176.25" customHeight="1">
      <c r="A6" s="24">
        <v>2.0</v>
      </c>
      <c r="B6" s="24" t="s">
        <v>22</v>
      </c>
      <c r="C6" s="24" t="s">
        <v>33</v>
      </c>
      <c r="D6" s="27" t="s">
        <v>34</v>
      </c>
      <c r="E6" s="27" t="s">
        <v>42</v>
      </c>
      <c r="F6" s="27" t="s">
        <v>45</v>
      </c>
      <c r="G6" s="29">
        <v>4.0</v>
      </c>
      <c r="H6" s="29">
        <v>5.0</v>
      </c>
      <c r="I6" s="29">
        <v>4.0</v>
      </c>
      <c r="J6" s="29">
        <v>5.0</v>
      </c>
      <c r="K6" s="17">
        <f t="shared" ref="K6:K37" si="1">AVERAGE(G6:J6)</f>
        <v>4.5</v>
      </c>
    </row>
    <row r="7" ht="131.25" customHeight="1">
      <c r="A7" s="13">
        <v>3.0</v>
      </c>
      <c r="B7" s="38" t="s">
        <v>22</v>
      </c>
      <c r="C7" s="38" t="s">
        <v>58</v>
      </c>
      <c r="D7" s="40" t="s">
        <v>59</v>
      </c>
      <c r="E7" s="40" t="s">
        <v>68</v>
      </c>
      <c r="F7" s="40" t="s">
        <v>69</v>
      </c>
      <c r="G7" s="41">
        <v>4.0</v>
      </c>
      <c r="H7" s="41">
        <v>4.0</v>
      </c>
      <c r="I7" s="41">
        <v>5.0</v>
      </c>
      <c r="J7" s="41">
        <v>4.0</v>
      </c>
      <c r="K7" s="17">
        <f t="shared" si="1"/>
        <v>4.25</v>
      </c>
    </row>
    <row r="8" ht="143.25" customHeight="1">
      <c r="A8" s="24">
        <v>4.0</v>
      </c>
      <c r="B8" s="24" t="s">
        <v>72</v>
      </c>
      <c r="C8" s="24" t="s">
        <v>24</v>
      </c>
      <c r="D8" s="27" t="s">
        <v>73</v>
      </c>
      <c r="E8" s="27" t="s">
        <v>87</v>
      </c>
      <c r="F8" s="27" t="s">
        <v>89</v>
      </c>
      <c r="G8" s="29">
        <v>5.0</v>
      </c>
      <c r="H8" s="29">
        <v>4.0</v>
      </c>
      <c r="I8" s="29">
        <v>4.0</v>
      </c>
      <c r="J8" s="29">
        <v>4.0</v>
      </c>
      <c r="K8" s="17">
        <f t="shared" si="1"/>
        <v>4.25</v>
      </c>
    </row>
    <row r="9" ht="166.5" customHeight="1">
      <c r="A9" s="13">
        <v>5.0</v>
      </c>
      <c r="B9" s="13" t="s">
        <v>72</v>
      </c>
      <c r="C9" s="13" t="s">
        <v>58</v>
      </c>
      <c r="D9" s="14" t="s">
        <v>95</v>
      </c>
      <c r="E9" s="14" t="s">
        <v>96</v>
      </c>
      <c r="F9" s="14" t="s">
        <v>98</v>
      </c>
      <c r="G9" s="41">
        <v>4.0</v>
      </c>
      <c r="H9" s="41">
        <v>3.0</v>
      </c>
      <c r="I9" s="41">
        <v>4.0</v>
      </c>
      <c r="J9" s="41">
        <v>4.0</v>
      </c>
      <c r="K9" s="17">
        <f t="shared" si="1"/>
        <v>3.75</v>
      </c>
    </row>
    <row r="10" ht="227.25" customHeight="1">
      <c r="A10" s="24">
        <v>6.0</v>
      </c>
      <c r="B10" s="24" t="s">
        <v>72</v>
      </c>
      <c r="C10" s="24" t="s">
        <v>115</v>
      </c>
      <c r="D10" s="27" t="s">
        <v>117</v>
      </c>
      <c r="E10" s="27" t="s">
        <v>121</v>
      </c>
      <c r="F10" s="27" t="s">
        <v>127</v>
      </c>
      <c r="G10" s="29">
        <v>3.0</v>
      </c>
      <c r="H10" s="29">
        <v>4.0</v>
      </c>
      <c r="I10" s="29">
        <v>4.0</v>
      </c>
      <c r="J10" s="29">
        <v>4.0</v>
      </c>
      <c r="K10" s="17">
        <f t="shared" si="1"/>
        <v>3.75</v>
      </c>
    </row>
    <row r="11" ht="141.0" customHeight="1">
      <c r="A11" s="13">
        <v>7.0</v>
      </c>
      <c r="B11" s="13" t="s">
        <v>130</v>
      </c>
      <c r="C11" s="13" t="s">
        <v>24</v>
      </c>
      <c r="D11" s="14" t="s">
        <v>132</v>
      </c>
      <c r="E11" s="14" t="s">
        <v>136</v>
      </c>
      <c r="F11" s="14" t="s">
        <v>137</v>
      </c>
      <c r="G11" s="41">
        <v>4.0</v>
      </c>
      <c r="H11" s="41">
        <v>4.0</v>
      </c>
      <c r="I11" s="41">
        <v>5.0</v>
      </c>
      <c r="J11" s="41">
        <v>4.0</v>
      </c>
      <c r="K11" s="17">
        <f t="shared" si="1"/>
        <v>4.25</v>
      </c>
    </row>
    <row r="12" ht="170.25" customHeight="1">
      <c r="A12" s="24">
        <v>8.0</v>
      </c>
      <c r="B12" s="24" t="s">
        <v>130</v>
      </c>
      <c r="C12" s="24" t="s">
        <v>58</v>
      </c>
      <c r="D12" s="27" t="s">
        <v>138</v>
      </c>
      <c r="E12" s="27" t="s">
        <v>153</v>
      </c>
      <c r="F12" s="27" t="s">
        <v>155</v>
      </c>
      <c r="G12" s="29">
        <v>4.0</v>
      </c>
      <c r="H12" s="29">
        <v>4.0</v>
      </c>
      <c r="I12" s="29">
        <v>5.0</v>
      </c>
      <c r="J12" s="29">
        <v>4.0</v>
      </c>
      <c r="K12" s="17">
        <f t="shared" si="1"/>
        <v>4.25</v>
      </c>
    </row>
    <row r="13" ht="143.25" customHeight="1">
      <c r="A13" s="13">
        <v>9.0</v>
      </c>
      <c r="B13" s="38" t="s">
        <v>144</v>
      </c>
      <c r="C13" s="38" t="s">
        <v>145</v>
      </c>
      <c r="D13" s="40" t="s">
        <v>146</v>
      </c>
      <c r="E13" s="40" t="s">
        <v>171</v>
      </c>
      <c r="F13" s="40" t="s">
        <v>174</v>
      </c>
      <c r="G13" s="41">
        <v>3.0</v>
      </c>
      <c r="H13" s="41">
        <v>4.0</v>
      </c>
      <c r="I13" s="41">
        <v>4.0</v>
      </c>
      <c r="J13" s="41">
        <v>4.0</v>
      </c>
      <c r="K13" s="17">
        <f t="shared" si="1"/>
        <v>3.75</v>
      </c>
    </row>
    <row r="14" ht="209.25" customHeight="1">
      <c r="A14" s="24">
        <v>10.0</v>
      </c>
      <c r="B14" s="24" t="s">
        <v>152</v>
      </c>
      <c r="C14" s="24" t="s">
        <v>24</v>
      </c>
      <c r="D14" s="27" t="s">
        <v>154</v>
      </c>
      <c r="E14" s="27" t="s">
        <v>193</v>
      </c>
      <c r="F14" s="27" t="s">
        <v>196</v>
      </c>
      <c r="G14" s="29">
        <v>4.0</v>
      </c>
      <c r="H14" s="29">
        <v>4.0</v>
      </c>
      <c r="I14" s="29">
        <v>4.0</v>
      </c>
      <c r="J14" s="29">
        <v>4.0</v>
      </c>
      <c r="K14" s="17">
        <f t="shared" si="1"/>
        <v>4</v>
      </c>
    </row>
    <row r="15" ht="177.75" customHeight="1">
      <c r="A15" s="13">
        <v>11.0</v>
      </c>
      <c r="B15" s="13" t="s">
        <v>165</v>
      </c>
      <c r="C15" s="13" t="s">
        <v>24</v>
      </c>
      <c r="D15" s="14" t="s">
        <v>166</v>
      </c>
      <c r="E15" s="14" t="s">
        <v>205</v>
      </c>
      <c r="F15" s="14" t="s">
        <v>206</v>
      </c>
      <c r="G15" s="41">
        <v>4.0</v>
      </c>
      <c r="H15" s="41">
        <v>4.0</v>
      </c>
      <c r="I15" s="41">
        <v>5.0</v>
      </c>
      <c r="J15" s="41">
        <v>4.0</v>
      </c>
      <c r="K15" s="17">
        <f t="shared" si="1"/>
        <v>4.25</v>
      </c>
    </row>
    <row r="16" ht="153.75" customHeight="1">
      <c r="A16" s="24">
        <v>12.0</v>
      </c>
      <c r="B16" s="24" t="s">
        <v>165</v>
      </c>
      <c r="C16" s="24" t="s">
        <v>175</v>
      </c>
      <c r="D16" s="27" t="s">
        <v>178</v>
      </c>
      <c r="E16" s="27" t="s">
        <v>212</v>
      </c>
      <c r="F16" s="27" t="s">
        <v>213</v>
      </c>
      <c r="G16" s="29">
        <v>3.0</v>
      </c>
      <c r="H16" s="29">
        <v>4.0</v>
      </c>
      <c r="I16" s="29">
        <v>4.0</v>
      </c>
      <c r="J16" s="29">
        <v>4.0</v>
      </c>
      <c r="K16" s="17">
        <f t="shared" si="1"/>
        <v>3.75</v>
      </c>
    </row>
    <row r="17" ht="192.75" customHeight="1">
      <c r="A17" s="13">
        <v>13.0</v>
      </c>
      <c r="B17" s="38" t="s">
        <v>165</v>
      </c>
      <c r="C17" s="38" t="s">
        <v>184</v>
      </c>
      <c r="D17" s="40" t="s">
        <v>185</v>
      </c>
      <c r="E17" s="40" t="s">
        <v>219</v>
      </c>
      <c r="F17" s="40" t="s">
        <v>222</v>
      </c>
      <c r="G17" s="41">
        <v>3.0</v>
      </c>
      <c r="H17" s="41">
        <v>4.0</v>
      </c>
      <c r="I17" s="41">
        <v>4.0</v>
      </c>
      <c r="J17" s="41">
        <v>4.0</v>
      </c>
      <c r="K17" s="17">
        <f t="shared" si="1"/>
        <v>3.75</v>
      </c>
    </row>
    <row r="18" ht="201.75" customHeight="1">
      <c r="A18" s="24">
        <v>14.0</v>
      </c>
      <c r="B18" s="24" t="s">
        <v>190</v>
      </c>
      <c r="C18" s="24" t="s">
        <v>24</v>
      </c>
      <c r="D18" s="27" t="s">
        <v>191</v>
      </c>
      <c r="E18" s="27" t="s">
        <v>230</v>
      </c>
      <c r="F18" s="27" t="s">
        <v>231</v>
      </c>
      <c r="G18" s="29">
        <v>2.0</v>
      </c>
      <c r="H18" s="29">
        <v>4.0</v>
      </c>
      <c r="I18" s="29">
        <v>5.0</v>
      </c>
      <c r="J18" s="29">
        <v>4.0</v>
      </c>
      <c r="K18" s="17">
        <f t="shared" si="1"/>
        <v>3.75</v>
      </c>
    </row>
    <row r="19" ht="171.75" customHeight="1">
      <c r="A19" s="13">
        <v>15.0</v>
      </c>
      <c r="B19" s="13" t="s">
        <v>190</v>
      </c>
      <c r="C19" s="13" t="s">
        <v>58</v>
      </c>
      <c r="D19" s="14" t="s">
        <v>198</v>
      </c>
      <c r="E19" s="14" t="s">
        <v>236</v>
      </c>
      <c r="F19" s="14" t="s">
        <v>237</v>
      </c>
      <c r="G19" s="41">
        <v>3.0</v>
      </c>
      <c r="H19" s="41">
        <v>4.0</v>
      </c>
      <c r="I19" s="41">
        <v>4.0</v>
      </c>
      <c r="J19" s="41">
        <v>4.0</v>
      </c>
      <c r="K19" s="17">
        <f t="shared" si="1"/>
        <v>3.75</v>
      </c>
    </row>
    <row r="20" ht="168.75" customHeight="1">
      <c r="A20" s="24">
        <v>16.0</v>
      </c>
      <c r="B20" s="24" t="s">
        <v>190</v>
      </c>
      <c r="C20" s="24" t="s">
        <v>115</v>
      </c>
      <c r="D20" s="27" t="s">
        <v>201</v>
      </c>
      <c r="E20" s="27" t="s">
        <v>248</v>
      </c>
      <c r="F20" s="27" t="s">
        <v>250</v>
      </c>
      <c r="G20" s="29">
        <v>2.0</v>
      </c>
      <c r="H20" s="29">
        <v>4.0</v>
      </c>
      <c r="I20" s="29">
        <v>4.0</v>
      </c>
      <c r="J20" s="29">
        <v>3.0</v>
      </c>
      <c r="K20" s="17">
        <f t="shared" si="1"/>
        <v>3.25</v>
      </c>
    </row>
    <row r="21" ht="209.25" customHeight="1">
      <c r="A21" s="13">
        <v>17.0</v>
      </c>
      <c r="B21" s="38" t="s">
        <v>208</v>
      </c>
      <c r="C21" s="38" t="s">
        <v>58</v>
      </c>
      <c r="D21" s="40" t="s">
        <v>209</v>
      </c>
      <c r="E21" s="40" t="s">
        <v>257</v>
      </c>
      <c r="F21" s="40" t="s">
        <v>259</v>
      </c>
      <c r="G21" s="41">
        <v>4.0</v>
      </c>
      <c r="H21" s="41">
        <v>4.0</v>
      </c>
      <c r="I21" s="41">
        <v>4.0</v>
      </c>
      <c r="J21" s="41">
        <v>4.0</v>
      </c>
      <c r="K21" s="17">
        <f t="shared" si="1"/>
        <v>4</v>
      </c>
    </row>
    <row r="22" ht="128.25" customHeight="1">
      <c r="A22" s="24">
        <v>18.0</v>
      </c>
      <c r="B22" s="23" t="s">
        <v>208</v>
      </c>
      <c r="C22" s="23" t="s">
        <v>115</v>
      </c>
      <c r="D22" s="26" t="s">
        <v>214</v>
      </c>
      <c r="E22" s="26" t="s">
        <v>270</v>
      </c>
      <c r="F22" s="26" t="s">
        <v>271</v>
      </c>
      <c r="G22" s="29">
        <v>3.0</v>
      </c>
      <c r="H22" s="29">
        <v>3.0</v>
      </c>
      <c r="I22" s="29">
        <v>4.0</v>
      </c>
      <c r="J22" s="29">
        <v>4.0</v>
      </c>
      <c r="K22" s="17">
        <f t="shared" si="1"/>
        <v>3.5</v>
      </c>
    </row>
    <row r="23" ht="186.75" customHeight="1">
      <c r="A23" s="13">
        <v>19.0</v>
      </c>
      <c r="B23" s="38" t="s">
        <v>220</v>
      </c>
      <c r="C23" s="38" t="s">
        <v>24</v>
      </c>
      <c r="D23" s="40" t="s">
        <v>221</v>
      </c>
      <c r="E23" s="40" t="s">
        <v>279</v>
      </c>
      <c r="F23" s="40" t="s">
        <v>281</v>
      </c>
      <c r="G23" s="41">
        <v>3.0</v>
      </c>
      <c r="H23" s="41">
        <v>4.0</v>
      </c>
      <c r="I23" s="41">
        <v>4.0</v>
      </c>
      <c r="J23" s="41">
        <v>4.0</v>
      </c>
      <c r="K23" s="17">
        <f t="shared" si="1"/>
        <v>3.75</v>
      </c>
    </row>
    <row r="24" ht="162.0" customHeight="1">
      <c r="A24" s="24">
        <v>20.0</v>
      </c>
      <c r="B24" s="24" t="s">
        <v>220</v>
      </c>
      <c r="C24" s="24" t="s">
        <v>115</v>
      </c>
      <c r="D24" s="27" t="s">
        <v>226</v>
      </c>
      <c r="E24" s="27" t="s">
        <v>294</v>
      </c>
      <c r="F24" s="27" t="s">
        <v>295</v>
      </c>
      <c r="G24" s="29">
        <v>3.0</v>
      </c>
      <c r="H24" s="29">
        <v>4.0</v>
      </c>
      <c r="I24" s="29">
        <v>4.0</v>
      </c>
      <c r="J24" s="29">
        <v>4.0</v>
      </c>
      <c r="K24" s="17">
        <f t="shared" si="1"/>
        <v>3.75</v>
      </c>
    </row>
    <row r="25" ht="226.5" customHeight="1">
      <c r="A25" s="13">
        <v>21.0</v>
      </c>
      <c r="B25" s="13" t="s">
        <v>232</v>
      </c>
      <c r="C25" s="13" t="s">
        <v>24</v>
      </c>
      <c r="D25" s="14" t="s">
        <v>233</v>
      </c>
      <c r="E25" s="14" t="s">
        <v>301</v>
      </c>
      <c r="F25" s="14" t="s">
        <v>302</v>
      </c>
      <c r="G25" s="41">
        <v>3.0</v>
      </c>
      <c r="H25" s="41">
        <v>4.0</v>
      </c>
      <c r="I25" s="41">
        <v>4.0</v>
      </c>
      <c r="J25" s="41">
        <v>4.0</v>
      </c>
      <c r="K25" s="17">
        <f t="shared" si="1"/>
        <v>3.75</v>
      </c>
    </row>
    <row r="26" ht="186.75" customHeight="1">
      <c r="A26" s="24">
        <v>22.0</v>
      </c>
      <c r="B26" s="24" t="s">
        <v>238</v>
      </c>
      <c r="C26" s="24" t="s">
        <v>24</v>
      </c>
      <c r="D26" s="27" t="s">
        <v>239</v>
      </c>
      <c r="E26" s="27" t="s">
        <v>306</v>
      </c>
      <c r="F26" s="27" t="s">
        <v>307</v>
      </c>
      <c r="G26" s="29">
        <v>4.0</v>
      </c>
      <c r="H26" s="29">
        <v>4.0</v>
      </c>
      <c r="I26" s="29">
        <v>4.0</v>
      </c>
      <c r="J26" s="29">
        <v>4.0</v>
      </c>
      <c r="K26" s="17">
        <f t="shared" si="1"/>
        <v>4</v>
      </c>
    </row>
    <row r="27" ht="175.5" customHeight="1">
      <c r="A27" s="13">
        <v>23.0</v>
      </c>
      <c r="B27" s="38" t="s">
        <v>244</v>
      </c>
      <c r="C27" s="38" t="s">
        <v>58</v>
      </c>
      <c r="D27" s="40" t="s">
        <v>245</v>
      </c>
      <c r="E27" s="40" t="s">
        <v>310</v>
      </c>
      <c r="F27" s="40" t="s">
        <v>313</v>
      </c>
      <c r="G27" s="41">
        <v>4.0</v>
      </c>
      <c r="H27" s="41">
        <v>3.0</v>
      </c>
      <c r="I27" s="41">
        <v>5.0</v>
      </c>
      <c r="J27" s="41">
        <v>4.0</v>
      </c>
      <c r="K27" s="17">
        <f t="shared" si="1"/>
        <v>4</v>
      </c>
    </row>
    <row r="28" ht="153.75" customHeight="1">
      <c r="A28" s="24">
        <v>24.0</v>
      </c>
      <c r="B28" s="24" t="s">
        <v>249</v>
      </c>
      <c r="C28" s="24" t="s">
        <v>24</v>
      </c>
      <c r="D28" s="27" t="s">
        <v>252</v>
      </c>
      <c r="E28" s="27" t="s">
        <v>320</v>
      </c>
      <c r="F28" s="27" t="s">
        <v>321</v>
      </c>
      <c r="G28" s="29">
        <v>4.0</v>
      </c>
      <c r="H28" s="29">
        <v>4.0</v>
      </c>
      <c r="I28" s="29">
        <v>4.0</v>
      </c>
      <c r="J28" s="29">
        <v>4.0</v>
      </c>
      <c r="K28" s="17">
        <f t="shared" si="1"/>
        <v>4</v>
      </c>
    </row>
    <row r="29" ht="216.0" customHeight="1">
      <c r="A29" s="13">
        <v>25.0</v>
      </c>
      <c r="B29" s="38" t="s">
        <v>256</v>
      </c>
      <c r="C29" s="38" t="s">
        <v>24</v>
      </c>
      <c r="D29" s="40" t="s">
        <v>258</v>
      </c>
      <c r="E29" s="40" t="s">
        <v>322</v>
      </c>
      <c r="F29" s="40" t="s">
        <v>323</v>
      </c>
      <c r="G29" s="41">
        <v>3.0</v>
      </c>
      <c r="H29" s="41">
        <v>4.0</v>
      </c>
      <c r="I29" s="41">
        <v>5.0</v>
      </c>
      <c r="J29" s="41">
        <v>4.0</v>
      </c>
      <c r="K29" s="17">
        <f t="shared" si="1"/>
        <v>4</v>
      </c>
    </row>
    <row r="30" ht="172.5" customHeight="1">
      <c r="A30" s="24">
        <v>26.0</v>
      </c>
      <c r="B30" s="23" t="s">
        <v>256</v>
      </c>
      <c r="C30" s="23" t="s">
        <v>58</v>
      </c>
      <c r="D30" s="26" t="s">
        <v>264</v>
      </c>
      <c r="E30" s="26" t="s">
        <v>327</v>
      </c>
      <c r="F30" s="26" t="s">
        <v>328</v>
      </c>
      <c r="G30" s="29">
        <v>3.0</v>
      </c>
      <c r="H30" s="29">
        <v>4.0</v>
      </c>
      <c r="I30" s="29">
        <v>4.0</v>
      </c>
      <c r="J30" s="29">
        <v>4.0</v>
      </c>
      <c r="K30" s="17">
        <f t="shared" si="1"/>
        <v>3.75</v>
      </c>
    </row>
    <row r="31" ht="188.25" customHeight="1">
      <c r="A31" s="13">
        <v>27.0</v>
      </c>
      <c r="B31" s="38" t="s">
        <v>256</v>
      </c>
      <c r="C31" s="38" t="s">
        <v>115</v>
      </c>
      <c r="D31" s="40" t="s">
        <v>267</v>
      </c>
      <c r="E31" s="40" t="s">
        <v>332</v>
      </c>
      <c r="F31" s="40" t="s">
        <v>333</v>
      </c>
      <c r="G31" s="41">
        <v>3.0</v>
      </c>
      <c r="H31" s="41">
        <v>4.0</v>
      </c>
      <c r="I31" s="41">
        <v>5.0</v>
      </c>
      <c r="J31" s="41">
        <v>4.0</v>
      </c>
      <c r="K31" s="17">
        <f t="shared" si="1"/>
        <v>4</v>
      </c>
    </row>
    <row r="32" ht="207.75" customHeight="1">
      <c r="A32" s="24">
        <v>28.0</v>
      </c>
      <c r="B32" s="23" t="s">
        <v>273</v>
      </c>
      <c r="C32" s="23" t="s">
        <v>24</v>
      </c>
      <c r="D32" s="26" t="s">
        <v>275</v>
      </c>
      <c r="E32" s="26" t="s">
        <v>335</v>
      </c>
      <c r="F32" s="26" t="s">
        <v>337</v>
      </c>
      <c r="G32" s="29">
        <v>4.0</v>
      </c>
      <c r="H32" s="29">
        <v>4.0</v>
      </c>
      <c r="I32" s="29">
        <v>4.0</v>
      </c>
      <c r="J32" s="29">
        <v>4.0</v>
      </c>
      <c r="K32" s="17">
        <f t="shared" si="1"/>
        <v>4</v>
      </c>
    </row>
    <row r="33" ht="174.0" customHeight="1">
      <c r="A33" s="13">
        <v>29.0</v>
      </c>
      <c r="B33" s="38" t="s">
        <v>273</v>
      </c>
      <c r="C33" s="38" t="s">
        <v>58</v>
      </c>
      <c r="D33" s="40" t="s">
        <v>278</v>
      </c>
      <c r="E33" s="40" t="s">
        <v>338</v>
      </c>
      <c r="F33" s="40" t="s">
        <v>339</v>
      </c>
      <c r="G33" s="41">
        <v>4.0</v>
      </c>
      <c r="H33" s="41">
        <v>4.0</v>
      </c>
      <c r="I33" s="41">
        <v>4.0</v>
      </c>
      <c r="J33" s="41">
        <v>4.0</v>
      </c>
      <c r="K33" s="17">
        <f t="shared" si="1"/>
        <v>4</v>
      </c>
    </row>
    <row r="34" ht="195.75" customHeight="1">
      <c r="A34" s="24">
        <v>30.0</v>
      </c>
      <c r="B34" s="24" t="s">
        <v>273</v>
      </c>
      <c r="C34" s="24" t="s">
        <v>115</v>
      </c>
      <c r="D34" s="27" t="s">
        <v>285</v>
      </c>
      <c r="E34" s="27" t="s">
        <v>342</v>
      </c>
      <c r="F34" s="27" t="s">
        <v>343</v>
      </c>
      <c r="G34" s="29">
        <v>4.0</v>
      </c>
      <c r="H34" s="29">
        <v>4.0</v>
      </c>
      <c r="I34" s="29">
        <v>5.0</v>
      </c>
      <c r="J34" s="29">
        <v>4.0</v>
      </c>
      <c r="K34" s="17">
        <f t="shared" si="1"/>
        <v>4.25</v>
      </c>
    </row>
    <row r="35" ht="212.25" customHeight="1">
      <c r="A35" s="13">
        <v>31.0</v>
      </c>
      <c r="B35" s="38" t="s">
        <v>288</v>
      </c>
      <c r="C35" s="38" t="s">
        <v>24</v>
      </c>
      <c r="D35" s="40" t="s">
        <v>289</v>
      </c>
      <c r="E35" s="40" t="s">
        <v>346</v>
      </c>
      <c r="F35" s="40" t="s">
        <v>347</v>
      </c>
      <c r="G35" s="41">
        <v>4.0</v>
      </c>
      <c r="H35" s="41">
        <v>4.0</v>
      </c>
      <c r="I35" s="41">
        <v>4.0</v>
      </c>
      <c r="J35" s="41">
        <v>4.0</v>
      </c>
      <c r="K35" s="17">
        <f t="shared" si="1"/>
        <v>4</v>
      </c>
    </row>
    <row r="36" ht="190.5" customHeight="1">
      <c r="A36" s="24">
        <v>32.0</v>
      </c>
      <c r="B36" s="73">
        <v>46197.0</v>
      </c>
      <c r="C36" s="100">
        <v>0.5</v>
      </c>
      <c r="D36" s="26" t="s">
        <v>296</v>
      </c>
      <c r="E36" s="88" t="s">
        <v>352</v>
      </c>
      <c r="F36" s="88" t="s">
        <v>353</v>
      </c>
      <c r="G36" s="29">
        <v>3.0</v>
      </c>
      <c r="H36" s="29">
        <v>4.0</v>
      </c>
      <c r="I36" s="29">
        <v>5.0</v>
      </c>
      <c r="J36" s="29">
        <v>4.0</v>
      </c>
      <c r="K36" s="17">
        <f t="shared" si="1"/>
        <v>4</v>
      </c>
    </row>
    <row r="37" ht="177.75" customHeight="1">
      <c r="A37" s="77">
        <v>33.0</v>
      </c>
      <c r="B37" s="78">
        <v>46197.0</v>
      </c>
      <c r="C37" s="102">
        <v>0.666666666666667</v>
      </c>
      <c r="D37" s="80" t="s">
        <v>303</v>
      </c>
      <c r="E37" s="107" t="s">
        <v>356</v>
      </c>
      <c r="F37" s="107" t="s">
        <v>357</v>
      </c>
      <c r="G37" s="83">
        <v>4.0</v>
      </c>
      <c r="H37" s="83">
        <v>4.0</v>
      </c>
      <c r="I37" s="83">
        <v>5.0</v>
      </c>
      <c r="J37" s="83">
        <v>4.0</v>
      </c>
      <c r="K37" s="84">
        <f t="shared" si="1"/>
        <v>4.25</v>
      </c>
    </row>
    <row r="38" ht="143.25" customHeight="1">
      <c r="A38" s="85">
        <v>34.0</v>
      </c>
      <c r="B38" s="86">
        <v>46198.0</v>
      </c>
      <c r="C38" s="100">
        <v>0.5</v>
      </c>
      <c r="D38" s="88" t="s">
        <v>314</v>
      </c>
      <c r="E38" s="88" t="s">
        <v>360</v>
      </c>
      <c r="F38" s="88" t="s">
        <v>361</v>
      </c>
      <c r="G38" s="89">
        <v>4.0</v>
      </c>
      <c r="H38" s="116">
        <v>4.0</v>
      </c>
      <c r="I38" s="89">
        <v>5.0</v>
      </c>
      <c r="J38" s="89">
        <v>4.0</v>
      </c>
      <c r="K38" s="90">
        <f>AVERAGE(F38:J38)</f>
        <v>4.25</v>
      </c>
    </row>
    <row r="39" ht="90.0" customHeight="1">
      <c r="A39" s="91"/>
      <c r="B39" s="91"/>
      <c r="C39" s="91"/>
      <c r="D39" s="92"/>
      <c r="E39" s="92"/>
      <c r="F39" s="93" t="s">
        <v>319</v>
      </c>
      <c r="G39" s="95">
        <f t="shared" ref="G39:K39" si="2">SUM(G5:G38)</f>
        <v>116</v>
      </c>
      <c r="H39" s="95">
        <f t="shared" si="2"/>
        <v>130</v>
      </c>
      <c r="I39" s="95">
        <f t="shared" si="2"/>
        <v>144</v>
      </c>
      <c r="J39" s="95">
        <f t="shared" si="2"/>
        <v>132</v>
      </c>
      <c r="K39" s="95">
        <f t="shared" si="2"/>
        <v>130.5</v>
      </c>
    </row>
    <row r="40" ht="152.25" customHeight="1">
      <c r="A40" s="91"/>
      <c r="B40" s="91"/>
      <c r="C40" s="91"/>
      <c r="D40" s="92"/>
      <c r="E40" s="92"/>
      <c r="F40" s="93" t="s">
        <v>325</v>
      </c>
      <c r="G40" s="95">
        <f t="shared" ref="G40:K40" si="3">ROUND(AVERAGE(G5:G38), 2)</f>
        <v>3.52</v>
      </c>
      <c r="H40" s="95">
        <f t="shared" si="3"/>
        <v>3.94</v>
      </c>
      <c r="I40" s="95">
        <f t="shared" si="3"/>
        <v>4.36</v>
      </c>
      <c r="J40" s="95">
        <f t="shared" si="3"/>
        <v>4</v>
      </c>
      <c r="K40" s="95">
        <f t="shared" si="3"/>
        <v>3.95</v>
      </c>
    </row>
    <row r="41" ht="57.75" customHeight="1">
      <c r="A41" s="91"/>
      <c r="B41" s="91"/>
      <c r="C41" s="91"/>
      <c r="D41" s="92"/>
      <c r="E41" s="92"/>
      <c r="F41" s="93" t="s">
        <v>329</v>
      </c>
      <c r="G41" s="95">
        <f t="shared" ref="G41:K41" si="4">ROUND(_xlfn.STDEV.S(G6:G38),2)</f>
        <v>0.67</v>
      </c>
      <c r="H41" s="95">
        <f t="shared" si="4"/>
        <v>0.35</v>
      </c>
      <c r="I41" s="95">
        <f t="shared" si="4"/>
        <v>0.49</v>
      </c>
      <c r="J41" s="95">
        <f t="shared" si="4"/>
        <v>0.25</v>
      </c>
      <c r="K41" s="95">
        <f t="shared" si="4"/>
        <v>0.26</v>
      </c>
    </row>
    <row r="42" ht="54.75" customHeight="1">
      <c r="A42" s="91"/>
      <c r="B42" s="91"/>
      <c r="C42" s="91"/>
      <c r="D42" s="92"/>
      <c r="E42" s="92"/>
      <c r="F42" s="92"/>
      <c r="G42" s="95" t="str">
        <f t="shared" ref="G42:K42" si="5">TEXT(AVERAGE(G6:G38),"0.00")&amp;" ± "&amp;TEXT(_xlfn.STDEV.S(G6:G38),"0.00")</f>
        <v>3,52 ± 0,67</v>
      </c>
      <c r="H42" s="95" t="str">
        <f t="shared" si="5"/>
        <v>3,94 ± 0,35</v>
      </c>
      <c r="I42" s="95" t="str">
        <f t="shared" si="5"/>
        <v>4,36 ± 0,49</v>
      </c>
      <c r="J42" s="95" t="str">
        <f t="shared" si="5"/>
        <v>4,00 ± 0,25</v>
      </c>
      <c r="K42" s="95" t="str">
        <f t="shared" si="5"/>
        <v>3,95 ± 0,26</v>
      </c>
    </row>
    <row r="43" ht="56.25" customHeight="1">
      <c r="A43" s="91"/>
      <c r="B43" s="91"/>
      <c r="C43" s="91"/>
      <c r="D43" s="92"/>
      <c r="E43" s="92"/>
      <c r="F43" s="92"/>
      <c r="G43" s="95"/>
      <c r="H43" s="99"/>
      <c r="I43" s="95"/>
      <c r="J43" s="99"/>
      <c r="K43" s="95"/>
    </row>
    <row r="44" ht="60.0" customHeight="1">
      <c r="A44" s="91"/>
      <c r="B44" s="91"/>
      <c r="C44" s="91"/>
      <c r="D44" s="92"/>
      <c r="E44" s="92"/>
      <c r="F44" s="92"/>
      <c r="G44" s="95"/>
      <c r="H44" s="99"/>
      <c r="I44" s="95"/>
      <c r="J44" s="99"/>
      <c r="K44" s="95"/>
    </row>
    <row r="45" ht="59.25" customHeight="1">
      <c r="A45" s="91"/>
      <c r="B45" s="91"/>
      <c r="C45" s="91"/>
      <c r="D45" s="92"/>
      <c r="E45" s="92"/>
      <c r="F45" s="92"/>
      <c r="G45" s="95"/>
      <c r="H45" s="99"/>
      <c r="I45" s="95"/>
      <c r="J45" s="99"/>
      <c r="K45" s="95"/>
    </row>
    <row r="46" ht="58.5" customHeight="1">
      <c r="A46" s="91"/>
      <c r="B46" s="91"/>
      <c r="C46" s="91"/>
      <c r="D46" s="92"/>
      <c r="E46" s="92"/>
      <c r="F46" s="92"/>
      <c r="G46" s="95"/>
      <c r="H46" s="99"/>
      <c r="I46" s="95"/>
      <c r="J46" s="99"/>
      <c r="K46" s="95"/>
    </row>
    <row r="47" ht="52.5" customHeight="1">
      <c r="A47" s="91"/>
      <c r="B47" s="91"/>
      <c r="C47" s="91"/>
      <c r="D47" s="92"/>
      <c r="E47" s="92"/>
      <c r="F47" s="92"/>
      <c r="G47" s="95"/>
      <c r="H47" s="99"/>
      <c r="I47" s="95"/>
      <c r="J47" s="99"/>
      <c r="K47" s="95"/>
    </row>
    <row r="48" ht="131.25" customHeight="1">
      <c r="A48" s="91"/>
      <c r="B48" s="91"/>
      <c r="C48" s="91"/>
      <c r="D48" s="92"/>
      <c r="E48" s="92"/>
      <c r="F48" s="92"/>
      <c r="G48" s="95"/>
      <c r="H48" s="99"/>
      <c r="I48" s="95"/>
      <c r="J48" s="99"/>
      <c r="K48" s="95"/>
    </row>
    <row r="49" ht="147.0" customHeight="1">
      <c r="A49" s="91"/>
      <c r="B49" s="91"/>
      <c r="C49" s="91"/>
      <c r="D49" s="92"/>
      <c r="E49" s="92"/>
      <c r="F49" s="92"/>
      <c r="G49" s="95"/>
      <c r="H49" s="99"/>
      <c r="I49" s="95"/>
      <c r="J49" s="99"/>
      <c r="K49" s="95"/>
    </row>
    <row r="50" ht="152.25" customHeight="1">
      <c r="A50" s="91"/>
      <c r="B50" s="91"/>
      <c r="C50" s="91"/>
      <c r="D50" s="92"/>
      <c r="E50" s="92"/>
      <c r="F50" s="92"/>
      <c r="G50" s="95"/>
      <c r="H50" s="99"/>
      <c r="I50" s="95"/>
      <c r="J50" s="99"/>
      <c r="K50" s="95"/>
    </row>
    <row r="51" ht="149.25" customHeight="1">
      <c r="A51" s="91"/>
      <c r="B51" s="91"/>
      <c r="C51" s="91"/>
      <c r="D51" s="92"/>
      <c r="E51" s="92"/>
      <c r="F51" s="92"/>
      <c r="G51" s="95"/>
      <c r="H51" s="99"/>
      <c r="I51" s="95"/>
      <c r="J51" s="99"/>
      <c r="K51" s="95"/>
    </row>
    <row r="52" ht="121.5" customHeight="1">
      <c r="A52" s="91"/>
      <c r="B52" s="91"/>
      <c r="C52" s="91"/>
      <c r="D52" s="92"/>
      <c r="E52" s="92"/>
      <c r="F52" s="92"/>
      <c r="G52" s="95"/>
      <c r="H52" s="99"/>
      <c r="I52" s="95"/>
      <c r="J52" s="99"/>
      <c r="K52" s="95"/>
    </row>
    <row r="53" ht="125.25" customHeight="1">
      <c r="A53" s="91"/>
      <c r="B53" s="91"/>
      <c r="C53" s="91"/>
      <c r="D53" s="92"/>
      <c r="E53" s="92"/>
      <c r="F53" s="92"/>
      <c r="G53" s="95"/>
      <c r="H53" s="99"/>
      <c r="I53" s="95"/>
      <c r="J53" s="99"/>
      <c r="K53" s="95"/>
    </row>
    <row r="54" ht="126.0" customHeight="1">
      <c r="A54" s="91"/>
      <c r="B54" s="91"/>
      <c r="C54" s="91"/>
      <c r="D54" s="92"/>
      <c r="E54" s="92"/>
      <c r="F54" s="92"/>
      <c r="G54" s="95"/>
      <c r="H54" s="99"/>
      <c r="I54" s="95"/>
      <c r="J54" s="99"/>
      <c r="K54" s="95"/>
    </row>
    <row r="55" ht="129.0" customHeight="1">
      <c r="A55" s="91"/>
      <c r="B55" s="91"/>
      <c r="C55" s="91"/>
      <c r="D55" s="92"/>
      <c r="E55" s="92"/>
      <c r="F55" s="92"/>
      <c r="G55" s="95"/>
      <c r="H55" s="99"/>
      <c r="I55" s="95"/>
      <c r="J55" s="99"/>
      <c r="K55" s="95"/>
    </row>
    <row r="56" ht="166.5" customHeight="1">
      <c r="A56" s="91"/>
      <c r="B56" s="91"/>
      <c r="C56" s="91"/>
      <c r="D56" s="92"/>
      <c r="E56" s="92"/>
      <c r="F56" s="92"/>
      <c r="G56" s="95"/>
      <c r="H56" s="99"/>
      <c r="I56" s="95"/>
      <c r="J56" s="99"/>
      <c r="K56" s="95"/>
    </row>
    <row r="57" ht="117.75" customHeight="1">
      <c r="A57" s="91"/>
      <c r="B57" s="91"/>
      <c r="C57" s="91"/>
      <c r="D57" s="92"/>
      <c r="E57" s="92"/>
      <c r="F57" s="92"/>
      <c r="G57" s="95"/>
      <c r="H57" s="99"/>
      <c r="I57" s="95"/>
      <c r="J57" s="99"/>
      <c r="K57" s="95"/>
    </row>
    <row r="58" ht="123.0" customHeight="1">
      <c r="A58" s="91"/>
      <c r="B58" s="91"/>
      <c r="C58" s="91"/>
      <c r="D58" s="92"/>
      <c r="E58" s="92"/>
      <c r="F58" s="92"/>
      <c r="G58" s="95"/>
      <c r="H58" s="99"/>
      <c r="I58" s="95"/>
      <c r="J58" s="99"/>
      <c r="K58" s="95"/>
    </row>
    <row r="59" ht="121.5" customHeight="1">
      <c r="A59" s="91"/>
      <c r="B59" s="91"/>
      <c r="C59" s="91"/>
      <c r="D59" s="92"/>
      <c r="E59" s="92"/>
      <c r="F59" s="92"/>
      <c r="G59" s="95"/>
      <c r="H59" s="99"/>
      <c r="I59" s="95"/>
      <c r="J59" s="99"/>
      <c r="K59" s="95"/>
    </row>
    <row r="60" ht="140.25" customHeight="1">
      <c r="A60" s="91"/>
      <c r="B60" s="91"/>
      <c r="C60" s="91"/>
      <c r="D60" s="92"/>
      <c r="E60" s="92"/>
      <c r="F60" s="92"/>
      <c r="G60" s="95"/>
      <c r="H60" s="99"/>
      <c r="I60" s="95"/>
      <c r="J60" s="99"/>
      <c r="K60" s="95"/>
    </row>
    <row r="61" ht="142.5" customHeight="1">
      <c r="A61" s="91"/>
      <c r="B61" s="91"/>
      <c r="C61" s="91"/>
      <c r="D61" s="92"/>
      <c r="E61" s="92"/>
      <c r="F61" s="92"/>
      <c r="G61" s="95"/>
      <c r="H61" s="99"/>
      <c r="I61" s="95"/>
      <c r="J61" s="99"/>
      <c r="K61" s="95"/>
    </row>
    <row r="62" ht="139.5" customHeight="1">
      <c r="A62" s="91"/>
      <c r="B62" s="91"/>
      <c r="C62" s="91"/>
      <c r="D62" s="92"/>
      <c r="E62" s="92"/>
      <c r="F62" s="92"/>
      <c r="G62" s="95"/>
      <c r="H62" s="99"/>
      <c r="I62" s="95"/>
      <c r="J62" s="99"/>
      <c r="K62" s="95"/>
    </row>
    <row r="63" ht="124.5" customHeight="1">
      <c r="A63" s="91"/>
      <c r="B63" s="91"/>
      <c r="C63" s="91"/>
      <c r="D63" s="92"/>
      <c r="E63" s="92"/>
      <c r="F63" s="92"/>
      <c r="G63" s="95"/>
      <c r="H63" s="99"/>
      <c r="I63" s="95"/>
      <c r="J63" s="99"/>
      <c r="K63" s="95"/>
    </row>
    <row r="64" ht="128.25" customHeight="1">
      <c r="A64" s="91"/>
      <c r="B64" s="91"/>
      <c r="C64" s="91"/>
      <c r="D64" s="92"/>
      <c r="E64" s="92"/>
      <c r="F64" s="92"/>
      <c r="G64" s="95"/>
      <c r="H64" s="99"/>
      <c r="I64" s="95"/>
      <c r="J64" s="99"/>
      <c r="K64" s="95"/>
    </row>
    <row r="65" ht="129.75" customHeight="1">
      <c r="A65" s="91"/>
      <c r="B65" s="91"/>
      <c r="C65" s="91"/>
      <c r="D65" s="92"/>
      <c r="E65" s="92"/>
      <c r="F65" s="92"/>
      <c r="G65" s="95"/>
      <c r="H65" s="99"/>
      <c r="I65" s="95"/>
      <c r="J65" s="99"/>
      <c r="K65" s="95"/>
    </row>
    <row r="66" ht="144.0" customHeight="1">
      <c r="A66" s="91"/>
      <c r="B66" s="91"/>
      <c r="C66" s="91"/>
      <c r="D66" s="92"/>
      <c r="E66" s="92"/>
      <c r="F66" s="92"/>
      <c r="G66" s="95"/>
      <c r="H66" s="99"/>
      <c r="I66" s="95"/>
      <c r="J66" s="99"/>
      <c r="K66" s="95"/>
    </row>
    <row r="67" ht="129.75" customHeight="1">
      <c r="A67" s="91"/>
      <c r="B67" s="91"/>
      <c r="C67" s="91"/>
      <c r="D67" s="92"/>
      <c r="E67" s="92"/>
      <c r="F67" s="92"/>
      <c r="G67" s="95"/>
      <c r="H67" s="99"/>
      <c r="I67" s="95"/>
      <c r="J67" s="99"/>
      <c r="K67" s="95"/>
    </row>
    <row r="68" ht="121.5" customHeight="1">
      <c r="A68" s="91"/>
      <c r="B68" s="91"/>
      <c r="C68" s="91"/>
      <c r="D68" s="92"/>
      <c r="E68" s="92"/>
      <c r="F68" s="92"/>
      <c r="G68" s="95"/>
      <c r="H68" s="99"/>
      <c r="I68" s="95"/>
      <c r="J68" s="99"/>
      <c r="K68" s="95"/>
    </row>
    <row r="69" ht="179.25" customHeight="1">
      <c r="A69" s="91"/>
      <c r="B69" s="91"/>
      <c r="C69" s="91"/>
      <c r="D69" s="92"/>
      <c r="E69" s="92"/>
      <c r="F69" s="92"/>
      <c r="G69" s="95"/>
      <c r="H69" s="99"/>
      <c r="I69" s="95"/>
      <c r="J69" s="99"/>
      <c r="K69" s="95"/>
    </row>
    <row r="70" ht="57.0" customHeight="1">
      <c r="A70" s="91"/>
      <c r="B70" s="117"/>
      <c r="C70" s="104"/>
      <c r="D70" s="92"/>
      <c r="E70" s="92"/>
      <c r="F70" s="92"/>
      <c r="G70" s="95"/>
      <c r="H70" s="99"/>
      <c r="I70" s="95"/>
      <c r="J70" s="99"/>
      <c r="K70" s="95"/>
    </row>
    <row r="71" ht="45.75" customHeight="1">
      <c r="A71" s="91"/>
      <c r="B71" s="103"/>
      <c r="C71" s="104"/>
      <c r="D71" s="92"/>
      <c r="E71" s="92"/>
      <c r="F71" s="92"/>
      <c r="G71" s="95"/>
      <c r="H71" s="99"/>
      <c r="I71" s="95"/>
      <c r="J71" s="99"/>
      <c r="K71" s="95"/>
    </row>
    <row r="72" ht="47.25" customHeight="1">
      <c r="A72" s="91"/>
      <c r="B72" s="103"/>
      <c r="C72" s="104"/>
      <c r="D72" s="92"/>
      <c r="E72" s="92"/>
      <c r="F72" s="92"/>
      <c r="G72" s="95"/>
      <c r="H72" s="99"/>
      <c r="I72" s="95"/>
      <c r="J72" s="99"/>
      <c r="K72" s="95"/>
    </row>
    <row r="73" ht="139.5" customHeight="1">
      <c r="A73" s="91"/>
      <c r="B73" s="103"/>
      <c r="C73" s="104"/>
      <c r="D73" s="92"/>
      <c r="E73" s="92"/>
      <c r="F73" s="92"/>
      <c r="G73" s="95"/>
      <c r="H73" s="99"/>
      <c r="I73" s="95"/>
      <c r="J73" s="99"/>
      <c r="K73" s="95"/>
    </row>
    <row r="74" ht="138.0" customHeight="1">
      <c r="A74" s="91"/>
      <c r="B74" s="103"/>
      <c r="C74" s="104"/>
      <c r="D74" s="92"/>
      <c r="E74" s="92"/>
      <c r="F74" s="92"/>
      <c r="G74" s="95"/>
      <c r="H74" s="99"/>
      <c r="I74" s="95"/>
      <c r="J74" s="99"/>
      <c r="K74" s="95"/>
    </row>
    <row r="75" ht="129.0" customHeight="1">
      <c r="A75" s="91"/>
      <c r="B75" s="103"/>
      <c r="C75" s="104"/>
      <c r="D75" s="92"/>
      <c r="E75" s="92"/>
      <c r="F75" s="92"/>
      <c r="G75" s="95"/>
      <c r="H75" s="99"/>
      <c r="I75" s="95"/>
      <c r="J75" s="99"/>
      <c r="K75" s="95"/>
    </row>
    <row r="76" ht="123.75" customHeight="1">
      <c r="A76" s="91"/>
      <c r="B76" s="103"/>
      <c r="C76" s="104"/>
      <c r="D76" s="92"/>
      <c r="E76" s="92"/>
      <c r="F76" s="92"/>
      <c r="G76" s="95"/>
      <c r="H76" s="99"/>
      <c r="I76" s="95"/>
      <c r="J76" s="99"/>
      <c r="K76" s="95"/>
    </row>
    <row r="77" ht="147.75" customHeight="1">
      <c r="A77" s="91"/>
      <c r="B77" s="103"/>
      <c r="C77" s="104"/>
      <c r="D77" s="92"/>
      <c r="E77" s="92"/>
      <c r="F77" s="92"/>
      <c r="G77" s="95"/>
      <c r="H77" s="99"/>
      <c r="I77" s="95"/>
      <c r="J77" s="99"/>
      <c r="K77" s="95"/>
    </row>
    <row r="78" ht="90.0" customHeight="1">
      <c r="A78" s="108"/>
      <c r="B78" s="108"/>
      <c r="C78" s="108"/>
      <c r="D78" s="109"/>
      <c r="E78" s="109"/>
      <c r="F78" s="109"/>
      <c r="G78" s="110"/>
      <c r="H78" s="109"/>
    </row>
    <row r="79" ht="90.0" customHeight="1">
      <c r="A79" s="113"/>
      <c r="B79" s="113"/>
      <c r="C79" s="113"/>
      <c r="D79" s="114"/>
      <c r="E79" s="114"/>
      <c r="F79" s="114"/>
      <c r="G79" s="115"/>
      <c r="H79" s="114"/>
    </row>
    <row r="80" ht="127.5" customHeight="1"/>
    <row r="81" ht="138.75" customHeight="1"/>
    <row r="82" ht="132.75" customHeight="1"/>
    <row r="83" ht="116.25" customHeight="1"/>
    <row r="84" ht="140.25"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6:J38">
      <formula1>"1,2,3,4,5"</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C2E"/>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8.14"/>
    <col customWidth="1" min="8" max="8" width="34.57"/>
    <col customWidth="1" min="9" max="9" width="33.29"/>
    <col customWidth="1" min="10" max="10" width="28.0"/>
    <col customWidth="1" min="11" max="11" width="27.43"/>
    <col customWidth="1" min="12" max="12" width="13.0"/>
    <col customWidth="1" min="13" max="26" width="8.71"/>
  </cols>
  <sheetData>
    <row r="1" ht="30.0" customHeight="1">
      <c r="A1" s="1" t="s">
        <v>0</v>
      </c>
      <c r="B1" s="3"/>
      <c r="C1" s="3"/>
      <c r="D1" s="3"/>
      <c r="E1" s="3"/>
      <c r="F1" s="3"/>
      <c r="G1" s="3"/>
      <c r="H1" s="3"/>
      <c r="I1" s="3"/>
      <c r="J1" s="3"/>
      <c r="K1" s="3"/>
      <c r="L1" s="5"/>
    </row>
    <row r="2" ht="24.75" customHeight="1">
      <c r="A2" s="8" t="s">
        <v>4</v>
      </c>
      <c r="B2" s="3"/>
      <c r="C2" s="3"/>
      <c r="D2" s="3"/>
      <c r="E2" s="3"/>
      <c r="F2" s="3"/>
      <c r="G2" s="3"/>
      <c r="H2" s="3"/>
      <c r="I2" s="3"/>
      <c r="J2" s="3"/>
      <c r="K2" s="3"/>
      <c r="L2" s="5"/>
    </row>
    <row r="3" ht="7.5" customHeight="1"/>
    <row r="4" ht="34.5" customHeight="1">
      <c r="A4" s="10" t="s">
        <v>9</v>
      </c>
      <c r="B4" s="10" t="s">
        <v>10</v>
      </c>
      <c r="C4" s="10" t="s">
        <v>12</v>
      </c>
      <c r="D4" s="10" t="s">
        <v>13</v>
      </c>
      <c r="E4" s="10" t="s">
        <v>14</v>
      </c>
      <c r="F4" s="10" t="s">
        <v>15</v>
      </c>
      <c r="G4" s="10" t="s">
        <v>16</v>
      </c>
      <c r="H4" s="10" t="s">
        <v>17</v>
      </c>
      <c r="I4" s="10" t="s">
        <v>18</v>
      </c>
      <c r="J4" s="10" t="s">
        <v>19</v>
      </c>
      <c r="K4" s="10" t="s">
        <v>21</v>
      </c>
    </row>
    <row r="5" ht="90.0" customHeight="1">
      <c r="A5" s="13">
        <v>1.0</v>
      </c>
      <c r="B5" s="13" t="s">
        <v>22</v>
      </c>
      <c r="C5" s="13" t="s">
        <v>24</v>
      </c>
      <c r="D5" s="14" t="s">
        <v>26</v>
      </c>
      <c r="E5" s="14" t="s">
        <v>28</v>
      </c>
      <c r="F5" s="14" t="s">
        <v>28</v>
      </c>
      <c r="G5" s="17"/>
      <c r="H5" s="20"/>
      <c r="I5" s="17"/>
      <c r="J5" s="20"/>
      <c r="K5" s="17"/>
      <c r="M5" s="21">
        <v>1.0</v>
      </c>
      <c r="N5" s="21">
        <v>2.0</v>
      </c>
      <c r="O5" s="21">
        <v>3.0</v>
      </c>
      <c r="P5" s="21">
        <v>4.0</v>
      </c>
      <c r="Q5" s="21">
        <v>5.0</v>
      </c>
    </row>
    <row r="6" ht="345.0" customHeight="1">
      <c r="A6" s="23">
        <v>2.0</v>
      </c>
      <c r="B6" s="23" t="s">
        <v>22</v>
      </c>
      <c r="C6" s="23" t="s">
        <v>33</v>
      </c>
      <c r="D6" s="26" t="s">
        <v>34</v>
      </c>
      <c r="E6" s="26" t="s">
        <v>39</v>
      </c>
      <c r="F6" s="26" t="s">
        <v>41</v>
      </c>
      <c r="G6" s="29">
        <v>4.0</v>
      </c>
      <c r="H6" s="29">
        <v>3.0</v>
      </c>
      <c r="I6" s="29">
        <v>5.0</v>
      </c>
      <c r="J6" s="29">
        <v>4.0</v>
      </c>
      <c r="K6" s="17">
        <f t="shared" ref="K6:K38" si="1">AVERAGE(G6:J6)</f>
        <v>4</v>
      </c>
    </row>
    <row r="7" ht="281.25" customHeight="1">
      <c r="A7" s="38">
        <v>3.0</v>
      </c>
      <c r="B7" s="38" t="s">
        <v>22</v>
      </c>
      <c r="C7" s="38" t="s">
        <v>58</v>
      </c>
      <c r="D7" s="40" t="s">
        <v>59</v>
      </c>
      <c r="E7" s="40" t="s">
        <v>63</v>
      </c>
      <c r="F7" s="40" t="s">
        <v>65</v>
      </c>
      <c r="G7" s="41">
        <v>4.0</v>
      </c>
      <c r="H7" s="41">
        <v>4.0</v>
      </c>
      <c r="I7" s="41">
        <v>4.0</v>
      </c>
      <c r="J7" s="41">
        <v>4.0</v>
      </c>
      <c r="K7" s="17">
        <f t="shared" si="1"/>
        <v>4</v>
      </c>
    </row>
    <row r="8" ht="244.5" customHeight="1">
      <c r="A8" s="23">
        <v>4.0</v>
      </c>
      <c r="B8" s="23" t="s">
        <v>72</v>
      </c>
      <c r="C8" s="23" t="s">
        <v>24</v>
      </c>
      <c r="D8" s="26" t="s">
        <v>73</v>
      </c>
      <c r="E8" s="26" t="s">
        <v>74</v>
      </c>
      <c r="F8" s="26" t="s">
        <v>76</v>
      </c>
      <c r="G8" s="29">
        <v>4.0</v>
      </c>
      <c r="H8" s="29">
        <v>3.0</v>
      </c>
      <c r="I8" s="29">
        <v>5.0</v>
      </c>
      <c r="J8" s="29">
        <v>4.0</v>
      </c>
      <c r="K8" s="17">
        <f t="shared" si="1"/>
        <v>4</v>
      </c>
    </row>
    <row r="9" ht="283.5" customHeight="1">
      <c r="A9" s="38">
        <v>5.0</v>
      </c>
      <c r="B9" s="38" t="s">
        <v>72</v>
      </c>
      <c r="C9" s="38" t="s">
        <v>58</v>
      </c>
      <c r="D9" s="40" t="s">
        <v>95</v>
      </c>
      <c r="E9" s="40" t="s">
        <v>101</v>
      </c>
      <c r="F9" s="40" t="s">
        <v>102</v>
      </c>
      <c r="G9" s="41">
        <v>3.0</v>
      </c>
      <c r="H9" s="41">
        <v>4.0</v>
      </c>
      <c r="I9" s="41">
        <v>4.0</v>
      </c>
      <c r="J9" s="41">
        <v>4.0</v>
      </c>
      <c r="K9" s="17">
        <f t="shared" si="1"/>
        <v>3.75</v>
      </c>
    </row>
    <row r="10" ht="276.0" customHeight="1">
      <c r="A10" s="23">
        <v>6.0</v>
      </c>
      <c r="B10" s="23" t="s">
        <v>72</v>
      </c>
      <c r="C10" s="23" t="s">
        <v>115</v>
      </c>
      <c r="D10" s="26" t="s">
        <v>117</v>
      </c>
      <c r="E10" s="26" t="s">
        <v>120</v>
      </c>
      <c r="F10" s="26" t="s">
        <v>122</v>
      </c>
      <c r="G10" s="29">
        <v>3.0</v>
      </c>
      <c r="H10" s="29">
        <v>4.0</v>
      </c>
      <c r="I10" s="29">
        <v>4.0</v>
      </c>
      <c r="J10" s="29">
        <v>4.0</v>
      </c>
      <c r="K10" s="17">
        <f t="shared" si="1"/>
        <v>3.75</v>
      </c>
    </row>
    <row r="11" ht="293.25" customHeight="1">
      <c r="A11" s="38">
        <v>7.0</v>
      </c>
      <c r="B11" s="38" t="s">
        <v>130</v>
      </c>
      <c r="C11" s="38" t="s">
        <v>24</v>
      </c>
      <c r="D11" s="40" t="s">
        <v>132</v>
      </c>
      <c r="E11" s="40" t="s">
        <v>134</v>
      </c>
      <c r="F11" s="40" t="s">
        <v>135</v>
      </c>
      <c r="G11" s="41">
        <v>4.0</v>
      </c>
      <c r="H11" s="41">
        <v>4.0</v>
      </c>
      <c r="I11" s="41">
        <v>4.0</v>
      </c>
      <c r="J11" s="41">
        <v>4.0</v>
      </c>
      <c r="K11" s="17">
        <f t="shared" si="1"/>
        <v>4</v>
      </c>
    </row>
    <row r="12" ht="288.75" customHeight="1">
      <c r="A12" s="23">
        <v>8.0</v>
      </c>
      <c r="B12" s="23" t="s">
        <v>130</v>
      </c>
      <c r="C12" s="23" t="s">
        <v>58</v>
      </c>
      <c r="D12" s="26" t="s">
        <v>138</v>
      </c>
      <c r="E12" s="26" t="s">
        <v>139</v>
      </c>
      <c r="F12" s="26" t="s">
        <v>142</v>
      </c>
      <c r="G12" s="29">
        <v>3.0</v>
      </c>
      <c r="H12" s="29">
        <v>4.0</v>
      </c>
      <c r="I12" s="29">
        <v>4.0</v>
      </c>
      <c r="J12" s="29">
        <v>4.0</v>
      </c>
      <c r="K12" s="17">
        <f t="shared" si="1"/>
        <v>3.75</v>
      </c>
    </row>
    <row r="13" ht="304.5" customHeight="1">
      <c r="A13" s="13">
        <v>9.0</v>
      </c>
      <c r="B13" s="38" t="s">
        <v>144</v>
      </c>
      <c r="C13" s="38" t="s">
        <v>145</v>
      </c>
      <c r="D13" s="40" t="s">
        <v>146</v>
      </c>
      <c r="E13" s="40" t="s">
        <v>147</v>
      </c>
      <c r="F13" s="40" t="s">
        <v>148</v>
      </c>
      <c r="G13" s="41">
        <v>3.0</v>
      </c>
      <c r="H13" s="41">
        <v>3.0</v>
      </c>
      <c r="I13" s="41">
        <v>4.0</v>
      </c>
      <c r="J13" s="41">
        <v>3.0</v>
      </c>
      <c r="K13" s="17">
        <f t="shared" si="1"/>
        <v>3.25</v>
      </c>
    </row>
    <row r="14" ht="231.75" customHeight="1">
      <c r="A14" s="23">
        <v>10.0</v>
      </c>
      <c r="B14" s="23" t="s">
        <v>152</v>
      </c>
      <c r="C14" s="23" t="s">
        <v>24</v>
      </c>
      <c r="D14" s="26" t="s">
        <v>154</v>
      </c>
      <c r="E14" s="26" t="s">
        <v>158</v>
      </c>
      <c r="F14" s="26" t="s">
        <v>159</v>
      </c>
      <c r="G14" s="29">
        <v>3.0</v>
      </c>
      <c r="H14" s="29">
        <v>4.0</v>
      </c>
      <c r="I14" s="29">
        <v>4.0</v>
      </c>
      <c r="J14" s="29">
        <v>4.0</v>
      </c>
      <c r="K14" s="17">
        <f t="shared" si="1"/>
        <v>3.75</v>
      </c>
    </row>
    <row r="15" ht="215.25" customHeight="1">
      <c r="A15" s="38">
        <v>11.0</v>
      </c>
      <c r="B15" s="38" t="s">
        <v>165</v>
      </c>
      <c r="C15" s="38" t="s">
        <v>24</v>
      </c>
      <c r="D15" s="40" t="s">
        <v>166</v>
      </c>
      <c r="E15" s="40" t="s">
        <v>167</v>
      </c>
      <c r="F15" s="40" t="s">
        <v>169</v>
      </c>
      <c r="G15" s="41">
        <v>4.0</v>
      </c>
      <c r="H15" s="41">
        <v>4.0</v>
      </c>
      <c r="I15" s="41">
        <v>4.0</v>
      </c>
      <c r="J15" s="41">
        <v>4.0</v>
      </c>
      <c r="K15" s="17">
        <f t="shared" si="1"/>
        <v>4</v>
      </c>
    </row>
    <row r="16" ht="279.0" customHeight="1">
      <c r="A16" s="24">
        <v>12.0</v>
      </c>
      <c r="B16" s="24" t="s">
        <v>165</v>
      </c>
      <c r="C16" s="24" t="s">
        <v>175</v>
      </c>
      <c r="D16" s="27" t="s">
        <v>178</v>
      </c>
      <c r="E16" s="27" t="s">
        <v>182</v>
      </c>
      <c r="F16" s="27" t="s">
        <v>183</v>
      </c>
      <c r="G16" s="29">
        <v>3.0</v>
      </c>
      <c r="H16" s="29">
        <v>4.0</v>
      </c>
      <c r="I16" s="29">
        <v>4.0</v>
      </c>
      <c r="J16" s="29">
        <v>4.0</v>
      </c>
      <c r="K16" s="17">
        <f t="shared" si="1"/>
        <v>3.75</v>
      </c>
    </row>
    <row r="17" ht="279.0" customHeight="1">
      <c r="A17" s="13">
        <v>13.0</v>
      </c>
      <c r="B17" s="38" t="s">
        <v>165</v>
      </c>
      <c r="C17" s="38" t="s">
        <v>184</v>
      </c>
      <c r="D17" s="40" t="s">
        <v>185</v>
      </c>
      <c r="E17" s="40" t="s">
        <v>187</v>
      </c>
      <c r="F17" s="40" t="s">
        <v>188</v>
      </c>
      <c r="G17" s="41">
        <v>3.0</v>
      </c>
      <c r="H17" s="41">
        <v>3.0</v>
      </c>
      <c r="I17" s="41">
        <v>5.0</v>
      </c>
      <c r="J17" s="41">
        <v>4.0</v>
      </c>
      <c r="K17" s="17">
        <f t="shared" si="1"/>
        <v>3.75</v>
      </c>
    </row>
    <row r="18" ht="223.5" customHeight="1">
      <c r="A18" s="24">
        <v>14.0</v>
      </c>
      <c r="B18" s="23" t="s">
        <v>190</v>
      </c>
      <c r="C18" s="23" t="s">
        <v>24</v>
      </c>
      <c r="D18" s="26" t="s">
        <v>191</v>
      </c>
      <c r="E18" s="26" t="s">
        <v>192</v>
      </c>
      <c r="F18" s="26" t="s">
        <v>195</v>
      </c>
      <c r="G18" s="29">
        <v>4.0</v>
      </c>
      <c r="H18" s="29">
        <v>4.0</v>
      </c>
      <c r="I18" s="29">
        <v>5.0</v>
      </c>
      <c r="J18" s="29">
        <v>4.0</v>
      </c>
      <c r="K18" s="17">
        <f t="shared" si="1"/>
        <v>4.25</v>
      </c>
    </row>
    <row r="19" ht="268.5" customHeight="1">
      <c r="A19" s="13">
        <v>15.0</v>
      </c>
      <c r="B19" s="38" t="s">
        <v>190</v>
      </c>
      <c r="C19" s="38" t="s">
        <v>58</v>
      </c>
      <c r="D19" s="40" t="s">
        <v>198</v>
      </c>
      <c r="E19" s="40" t="s">
        <v>199</v>
      </c>
      <c r="F19" s="40" t="s">
        <v>200</v>
      </c>
      <c r="G19" s="41">
        <v>3.0</v>
      </c>
      <c r="H19" s="41">
        <v>4.0</v>
      </c>
      <c r="I19" s="41">
        <v>4.0</v>
      </c>
      <c r="J19" s="41">
        <v>4.0</v>
      </c>
      <c r="K19" s="17">
        <f t="shared" si="1"/>
        <v>3.75</v>
      </c>
    </row>
    <row r="20" ht="244.5" customHeight="1">
      <c r="A20" s="24">
        <v>16.0</v>
      </c>
      <c r="B20" s="23" t="s">
        <v>190</v>
      </c>
      <c r="C20" s="23" t="s">
        <v>115</v>
      </c>
      <c r="D20" s="26" t="s">
        <v>201</v>
      </c>
      <c r="E20" s="26" t="s">
        <v>202</v>
      </c>
      <c r="F20" s="26" t="s">
        <v>203</v>
      </c>
      <c r="G20" s="29">
        <v>4.0</v>
      </c>
      <c r="H20" s="29">
        <v>4.0</v>
      </c>
      <c r="I20" s="29">
        <v>4.0</v>
      </c>
      <c r="J20" s="29">
        <v>4.0</v>
      </c>
      <c r="K20" s="17">
        <f t="shared" si="1"/>
        <v>4</v>
      </c>
    </row>
    <row r="21" ht="291.75" customHeight="1">
      <c r="A21" s="13">
        <v>17.0</v>
      </c>
      <c r="B21" s="13" t="s">
        <v>208</v>
      </c>
      <c r="C21" s="13" t="s">
        <v>58</v>
      </c>
      <c r="D21" s="14" t="s">
        <v>209</v>
      </c>
      <c r="E21" s="14" t="s">
        <v>210</v>
      </c>
      <c r="F21" s="14" t="s">
        <v>211</v>
      </c>
      <c r="G21" s="41">
        <v>4.0</v>
      </c>
      <c r="H21" s="41">
        <v>4.0</v>
      </c>
      <c r="I21" s="41">
        <v>5.0</v>
      </c>
      <c r="J21" s="44">
        <v>4.0</v>
      </c>
      <c r="K21" s="17">
        <f t="shared" si="1"/>
        <v>4.25</v>
      </c>
    </row>
    <row r="22" ht="210.0" customHeight="1">
      <c r="A22" s="23">
        <v>18.0</v>
      </c>
      <c r="B22" s="23" t="s">
        <v>208</v>
      </c>
      <c r="C22" s="23" t="s">
        <v>115</v>
      </c>
      <c r="D22" s="26" t="s">
        <v>214</v>
      </c>
      <c r="E22" s="26" t="s">
        <v>216</v>
      </c>
      <c r="F22" s="26" t="s">
        <v>218</v>
      </c>
      <c r="G22" s="29">
        <v>3.0</v>
      </c>
      <c r="H22" s="29">
        <v>4.0</v>
      </c>
      <c r="I22" s="29">
        <v>4.0</v>
      </c>
      <c r="J22" s="29">
        <v>4.0</v>
      </c>
      <c r="K22" s="17">
        <f t="shared" si="1"/>
        <v>3.75</v>
      </c>
    </row>
    <row r="23" ht="215.25" customHeight="1">
      <c r="A23" s="13">
        <v>19.0</v>
      </c>
      <c r="B23" s="13" t="s">
        <v>220</v>
      </c>
      <c r="C23" s="13" t="s">
        <v>24</v>
      </c>
      <c r="D23" s="14" t="s">
        <v>221</v>
      </c>
      <c r="E23" s="14" t="s">
        <v>223</v>
      </c>
      <c r="F23" s="14" t="s">
        <v>224</v>
      </c>
      <c r="G23" s="41">
        <v>3.0</v>
      </c>
      <c r="H23" s="41">
        <v>4.0</v>
      </c>
      <c r="I23" s="41">
        <v>5.0</v>
      </c>
      <c r="J23" s="44">
        <v>4.0</v>
      </c>
      <c r="K23" s="17">
        <f t="shared" si="1"/>
        <v>4</v>
      </c>
    </row>
    <row r="24" ht="229.5" customHeight="1">
      <c r="A24" s="24">
        <v>20.0</v>
      </c>
      <c r="B24" s="23" t="s">
        <v>220</v>
      </c>
      <c r="C24" s="23" t="s">
        <v>115</v>
      </c>
      <c r="D24" s="26" t="s">
        <v>226</v>
      </c>
      <c r="E24" s="26" t="s">
        <v>227</v>
      </c>
      <c r="F24" s="26" t="s">
        <v>229</v>
      </c>
      <c r="G24" s="29">
        <v>4.0</v>
      </c>
      <c r="H24" s="29">
        <v>4.0</v>
      </c>
      <c r="I24" s="29">
        <v>4.0</v>
      </c>
      <c r="J24" s="49">
        <v>4.0</v>
      </c>
      <c r="K24" s="17">
        <f t="shared" si="1"/>
        <v>4</v>
      </c>
    </row>
    <row r="25" ht="246.0" customHeight="1">
      <c r="A25" s="13">
        <v>21.0</v>
      </c>
      <c r="B25" s="38" t="s">
        <v>232</v>
      </c>
      <c r="C25" s="38" t="s">
        <v>24</v>
      </c>
      <c r="D25" s="40" t="s">
        <v>233</v>
      </c>
      <c r="E25" s="40" t="s">
        <v>234</v>
      </c>
      <c r="F25" s="40" t="s">
        <v>235</v>
      </c>
      <c r="G25" s="41">
        <v>3.0</v>
      </c>
      <c r="H25" s="41">
        <v>4.0</v>
      </c>
      <c r="I25" s="41">
        <v>4.0</v>
      </c>
      <c r="J25" s="44">
        <v>4.0</v>
      </c>
      <c r="K25" s="17">
        <f t="shared" si="1"/>
        <v>3.75</v>
      </c>
    </row>
    <row r="26" ht="194.25" customHeight="1">
      <c r="A26" s="24">
        <v>22.0</v>
      </c>
      <c r="B26" s="23" t="s">
        <v>238</v>
      </c>
      <c r="C26" s="23" t="s">
        <v>24</v>
      </c>
      <c r="D26" s="26" t="s">
        <v>239</v>
      </c>
      <c r="E26" s="26" t="s">
        <v>241</v>
      </c>
      <c r="F26" s="26" t="s">
        <v>242</v>
      </c>
      <c r="G26" s="29">
        <v>4.0</v>
      </c>
      <c r="H26" s="29">
        <v>4.0</v>
      </c>
      <c r="I26" s="29">
        <v>4.0</v>
      </c>
      <c r="J26" s="49">
        <v>4.0</v>
      </c>
      <c r="K26" s="17">
        <f t="shared" si="1"/>
        <v>4</v>
      </c>
    </row>
    <row r="27" ht="258.0" customHeight="1">
      <c r="A27" s="13">
        <v>23.0</v>
      </c>
      <c r="B27" s="13" t="s">
        <v>244</v>
      </c>
      <c r="C27" s="13" t="s">
        <v>58</v>
      </c>
      <c r="D27" s="14" t="s">
        <v>245</v>
      </c>
      <c r="E27" s="14" t="s">
        <v>246</v>
      </c>
      <c r="F27" s="14" t="s">
        <v>247</v>
      </c>
      <c r="G27" s="41">
        <v>4.0</v>
      </c>
      <c r="H27" s="41">
        <v>4.0</v>
      </c>
      <c r="I27" s="41">
        <v>3.0</v>
      </c>
      <c r="J27" s="44">
        <v>4.0</v>
      </c>
      <c r="K27" s="17">
        <f t="shared" si="1"/>
        <v>3.75</v>
      </c>
    </row>
    <row r="28" ht="227.25" customHeight="1">
      <c r="A28" s="24">
        <v>24.0</v>
      </c>
      <c r="B28" s="23" t="s">
        <v>249</v>
      </c>
      <c r="C28" s="23" t="s">
        <v>24</v>
      </c>
      <c r="D28" s="26" t="s">
        <v>252</v>
      </c>
      <c r="E28" s="26" t="s">
        <v>254</v>
      </c>
      <c r="F28" s="26" t="s">
        <v>255</v>
      </c>
      <c r="G28" s="29">
        <v>3.0</v>
      </c>
      <c r="H28" s="29">
        <v>4.0</v>
      </c>
      <c r="I28" s="29">
        <v>4.0</v>
      </c>
      <c r="J28" s="49">
        <v>4.0</v>
      </c>
      <c r="K28" s="17">
        <f t="shared" si="1"/>
        <v>3.75</v>
      </c>
    </row>
    <row r="29" ht="299.25" customHeight="1">
      <c r="A29" s="13">
        <v>25.0</v>
      </c>
      <c r="B29" s="13" t="s">
        <v>256</v>
      </c>
      <c r="C29" s="13" t="s">
        <v>24</v>
      </c>
      <c r="D29" s="14" t="s">
        <v>258</v>
      </c>
      <c r="E29" s="14" t="s">
        <v>260</v>
      </c>
      <c r="F29" s="14" t="s">
        <v>261</v>
      </c>
      <c r="G29" s="41">
        <v>3.0</v>
      </c>
      <c r="H29" s="41">
        <v>4.0</v>
      </c>
      <c r="I29" s="41">
        <v>5.0</v>
      </c>
      <c r="J29" s="44">
        <v>4.0</v>
      </c>
      <c r="K29" s="17">
        <f t="shared" si="1"/>
        <v>4</v>
      </c>
    </row>
    <row r="30" ht="256.5" customHeight="1">
      <c r="A30" s="24">
        <v>26.0</v>
      </c>
      <c r="B30" s="24" t="s">
        <v>256</v>
      </c>
      <c r="C30" s="24" t="s">
        <v>58</v>
      </c>
      <c r="D30" s="27" t="s">
        <v>264</v>
      </c>
      <c r="E30" s="27" t="s">
        <v>265</v>
      </c>
      <c r="F30" s="27" t="s">
        <v>266</v>
      </c>
      <c r="G30" s="29">
        <v>4.0</v>
      </c>
      <c r="H30" s="29">
        <v>5.0</v>
      </c>
      <c r="I30" s="29">
        <v>4.0</v>
      </c>
      <c r="J30" s="29">
        <v>4.0</v>
      </c>
      <c r="K30" s="17">
        <f t="shared" si="1"/>
        <v>4.25</v>
      </c>
    </row>
    <row r="31" ht="183.75" customHeight="1">
      <c r="A31" s="13">
        <v>27.0</v>
      </c>
      <c r="B31" s="13" t="s">
        <v>256</v>
      </c>
      <c r="C31" s="13" t="s">
        <v>115</v>
      </c>
      <c r="D31" s="14" t="s">
        <v>267</v>
      </c>
      <c r="E31" s="14" t="s">
        <v>268</v>
      </c>
      <c r="F31" s="14" t="s">
        <v>269</v>
      </c>
      <c r="G31" s="41">
        <v>4.0</v>
      </c>
      <c r="H31" s="41">
        <v>5.0</v>
      </c>
      <c r="I31" s="41">
        <v>4.0</v>
      </c>
      <c r="J31" s="41">
        <v>4.0</v>
      </c>
      <c r="K31" s="17">
        <f t="shared" si="1"/>
        <v>4.25</v>
      </c>
    </row>
    <row r="32" ht="228.75" customHeight="1">
      <c r="A32" s="24">
        <v>28.0</v>
      </c>
      <c r="B32" s="24" t="s">
        <v>273</v>
      </c>
      <c r="C32" s="24" t="s">
        <v>24</v>
      </c>
      <c r="D32" s="27" t="s">
        <v>275</v>
      </c>
      <c r="E32" s="27" t="s">
        <v>276</v>
      </c>
      <c r="F32" s="27" t="s">
        <v>277</v>
      </c>
      <c r="G32" s="29">
        <v>4.0</v>
      </c>
      <c r="H32" s="29">
        <v>5.0</v>
      </c>
      <c r="I32" s="29">
        <v>5.0</v>
      </c>
      <c r="J32" s="29">
        <v>4.0</v>
      </c>
      <c r="K32" s="17">
        <f t="shared" si="1"/>
        <v>4.5</v>
      </c>
    </row>
    <row r="33" ht="282.0" customHeight="1">
      <c r="A33" s="13">
        <v>29.0</v>
      </c>
      <c r="B33" s="13" t="s">
        <v>273</v>
      </c>
      <c r="C33" s="13" t="s">
        <v>58</v>
      </c>
      <c r="D33" s="14" t="s">
        <v>278</v>
      </c>
      <c r="E33" s="14" t="s">
        <v>280</v>
      </c>
      <c r="F33" s="14" t="s">
        <v>282</v>
      </c>
      <c r="G33" s="41">
        <v>4.0</v>
      </c>
      <c r="H33" s="41">
        <v>5.0</v>
      </c>
      <c r="I33" s="41">
        <v>4.0</v>
      </c>
      <c r="J33" s="41">
        <v>4.0</v>
      </c>
      <c r="K33" s="17">
        <f t="shared" si="1"/>
        <v>4.25</v>
      </c>
    </row>
    <row r="34" ht="270.75" customHeight="1">
      <c r="A34" s="24">
        <v>30.0</v>
      </c>
      <c r="B34" s="23" t="s">
        <v>273</v>
      </c>
      <c r="C34" s="23" t="s">
        <v>115</v>
      </c>
      <c r="D34" s="26" t="s">
        <v>285</v>
      </c>
      <c r="E34" s="26" t="s">
        <v>286</v>
      </c>
      <c r="F34" s="26" t="s">
        <v>287</v>
      </c>
      <c r="G34" s="29">
        <v>4.0</v>
      </c>
      <c r="H34" s="29">
        <v>4.0</v>
      </c>
      <c r="I34" s="29">
        <v>4.0</v>
      </c>
      <c r="J34" s="29">
        <v>4.0</v>
      </c>
      <c r="K34" s="17">
        <f t="shared" si="1"/>
        <v>4</v>
      </c>
    </row>
    <row r="35" ht="238.5" customHeight="1">
      <c r="A35" s="13">
        <v>31.0</v>
      </c>
      <c r="B35" s="13" t="s">
        <v>288</v>
      </c>
      <c r="C35" s="13" t="s">
        <v>24</v>
      </c>
      <c r="D35" s="14" t="s">
        <v>289</v>
      </c>
      <c r="E35" s="14" t="s">
        <v>290</v>
      </c>
      <c r="F35" s="14" t="s">
        <v>291</v>
      </c>
      <c r="G35" s="41">
        <v>2.0</v>
      </c>
      <c r="H35" s="41">
        <v>4.0</v>
      </c>
      <c r="I35" s="41">
        <v>3.0</v>
      </c>
      <c r="J35" s="41">
        <v>4.0</v>
      </c>
      <c r="K35" s="17">
        <f t="shared" si="1"/>
        <v>3.25</v>
      </c>
    </row>
    <row r="36" ht="242.25" customHeight="1">
      <c r="A36" s="24">
        <v>32.0</v>
      </c>
      <c r="B36" s="73">
        <v>46197.0</v>
      </c>
      <c r="C36" s="74">
        <v>0.5</v>
      </c>
      <c r="D36" s="26" t="s">
        <v>296</v>
      </c>
      <c r="E36" s="26" t="s">
        <v>297</v>
      </c>
      <c r="F36" s="26" t="s">
        <v>298</v>
      </c>
      <c r="G36" s="29">
        <v>3.0</v>
      </c>
      <c r="H36" s="29">
        <v>4.0</v>
      </c>
      <c r="I36" s="29">
        <v>4.0</v>
      </c>
      <c r="J36" s="29">
        <v>4.0</v>
      </c>
      <c r="K36" s="17">
        <f t="shared" si="1"/>
        <v>3.75</v>
      </c>
    </row>
    <row r="37" ht="295.5" customHeight="1">
      <c r="A37" s="77">
        <v>33.0</v>
      </c>
      <c r="B37" s="78">
        <v>46197.0</v>
      </c>
      <c r="C37" s="79">
        <v>0.666666666666667</v>
      </c>
      <c r="D37" s="80" t="s">
        <v>303</v>
      </c>
      <c r="E37" s="80" t="s">
        <v>304</v>
      </c>
      <c r="F37" s="80" t="s">
        <v>305</v>
      </c>
      <c r="G37" s="83">
        <v>4.0</v>
      </c>
      <c r="H37" s="83">
        <v>4.0</v>
      </c>
      <c r="I37" s="83">
        <v>4.0</v>
      </c>
      <c r="J37" s="83">
        <v>4.0</v>
      </c>
      <c r="K37" s="84">
        <f t="shared" si="1"/>
        <v>4</v>
      </c>
    </row>
    <row r="38" ht="225.0" customHeight="1">
      <c r="A38" s="85">
        <v>34.0</v>
      </c>
      <c r="B38" s="86">
        <v>46198.0</v>
      </c>
      <c r="C38" s="87" t="s">
        <v>58</v>
      </c>
      <c r="D38" s="88" t="s">
        <v>314</v>
      </c>
      <c r="E38" s="88" t="s">
        <v>315</v>
      </c>
      <c r="F38" s="88" t="s">
        <v>316</v>
      </c>
      <c r="G38" s="89">
        <v>3.0</v>
      </c>
      <c r="H38" s="89">
        <v>4.0</v>
      </c>
      <c r="I38" s="89">
        <v>5.0</v>
      </c>
      <c r="J38" s="89">
        <v>4.0</v>
      </c>
      <c r="K38" s="90">
        <f t="shared" si="1"/>
        <v>4</v>
      </c>
    </row>
    <row r="39" ht="193.5" customHeight="1">
      <c r="A39" s="91"/>
      <c r="B39" s="91"/>
      <c r="C39" s="91"/>
      <c r="D39" s="92"/>
      <c r="E39" s="92"/>
      <c r="F39" s="93" t="s">
        <v>319</v>
      </c>
      <c r="G39" s="95">
        <f t="shared" ref="G39:K39" si="2">SUM(G5:G38)</f>
        <v>115</v>
      </c>
      <c r="H39" s="95">
        <f t="shared" si="2"/>
        <v>132</v>
      </c>
      <c r="I39" s="95">
        <f t="shared" si="2"/>
        <v>139</v>
      </c>
      <c r="J39" s="95">
        <f t="shared" si="2"/>
        <v>131</v>
      </c>
      <c r="K39" s="95">
        <f t="shared" si="2"/>
        <v>129.25</v>
      </c>
    </row>
    <row r="40" ht="167.25" customHeight="1">
      <c r="A40" s="91"/>
      <c r="B40" s="91"/>
      <c r="C40" s="91"/>
      <c r="D40" s="92"/>
      <c r="E40" s="92"/>
      <c r="F40" s="93" t="s">
        <v>325</v>
      </c>
      <c r="G40" s="95">
        <f t="shared" ref="G40:K40" si="3">ROUND(AVERAGE(G5:G38), 2)</f>
        <v>3.48</v>
      </c>
      <c r="H40" s="95">
        <f t="shared" si="3"/>
        <v>4</v>
      </c>
      <c r="I40" s="95">
        <f t="shared" si="3"/>
        <v>4.21</v>
      </c>
      <c r="J40" s="95">
        <f t="shared" si="3"/>
        <v>3.97</v>
      </c>
      <c r="K40" s="95">
        <f t="shared" si="3"/>
        <v>3.92</v>
      </c>
    </row>
    <row r="41" ht="31.5" customHeight="1">
      <c r="A41" s="91"/>
      <c r="B41" s="91"/>
      <c r="C41" s="91"/>
      <c r="D41" s="92"/>
      <c r="E41" s="92"/>
      <c r="F41" s="93" t="s">
        <v>329</v>
      </c>
      <c r="G41" s="95">
        <f t="shared" ref="G41:K41" si="4">ROUND(_xlfn.STDEV.S(G6:G38),2)</f>
        <v>0.57</v>
      </c>
      <c r="H41" s="95">
        <f t="shared" si="4"/>
        <v>0.5</v>
      </c>
      <c r="I41" s="95">
        <f t="shared" si="4"/>
        <v>0.55</v>
      </c>
      <c r="J41" s="95">
        <f t="shared" si="4"/>
        <v>0.17</v>
      </c>
      <c r="K41" s="95">
        <f t="shared" si="4"/>
        <v>0.26</v>
      </c>
    </row>
    <row r="42" ht="28.5" customHeight="1">
      <c r="A42" s="91"/>
      <c r="B42" s="91"/>
      <c r="C42" s="91"/>
      <c r="D42" s="92"/>
      <c r="E42" s="92"/>
      <c r="F42" s="92"/>
      <c r="G42" s="95" t="str">
        <f t="shared" ref="G42:K42" si="5">TEXT(AVERAGE(G6:G38),"0.00")&amp;" ± "&amp;TEXT(_xlfn.STDEV.S(G6:G38),"0.00")</f>
        <v>3,48 ± 0,57</v>
      </c>
      <c r="H42" s="95" t="str">
        <f t="shared" si="5"/>
        <v>4,00 ± 0,50</v>
      </c>
      <c r="I42" s="95" t="str">
        <f t="shared" si="5"/>
        <v>4,21 ± 0,55</v>
      </c>
      <c r="J42" s="95" t="str">
        <f t="shared" si="5"/>
        <v>3,97 ± 0,17</v>
      </c>
      <c r="K42" s="95" t="str">
        <f t="shared" si="5"/>
        <v>3,92 ± 0,26</v>
      </c>
    </row>
    <row r="43" ht="31.5" customHeight="1">
      <c r="A43" s="91"/>
      <c r="B43" s="91"/>
      <c r="C43" s="91"/>
      <c r="D43" s="92"/>
      <c r="E43" s="92"/>
      <c r="F43" s="92"/>
      <c r="G43" s="95"/>
      <c r="H43" s="99"/>
      <c r="I43" s="95"/>
      <c r="J43" s="99"/>
      <c r="K43" s="95"/>
    </row>
    <row r="44" ht="32.25" customHeight="1">
      <c r="A44" s="91"/>
      <c r="B44" s="91"/>
      <c r="C44" s="91"/>
      <c r="D44" s="92"/>
      <c r="E44" s="92"/>
      <c r="F44" s="92"/>
      <c r="G44" s="95"/>
      <c r="H44" s="99"/>
      <c r="I44" s="95"/>
      <c r="J44" s="99"/>
      <c r="K44" s="95"/>
    </row>
    <row r="45" ht="29.25" customHeight="1">
      <c r="A45" s="91"/>
      <c r="B45" s="91"/>
      <c r="C45" s="91"/>
      <c r="D45" s="92"/>
      <c r="E45" s="92"/>
      <c r="F45" s="92"/>
      <c r="G45" s="95"/>
      <c r="H45" s="99"/>
      <c r="I45" s="95"/>
      <c r="J45" s="99"/>
      <c r="K45" s="95"/>
    </row>
    <row r="46" ht="33.0" customHeight="1">
      <c r="A46" s="91"/>
      <c r="B46" s="91"/>
      <c r="C46" s="91"/>
      <c r="D46" s="92"/>
      <c r="E46" s="92"/>
      <c r="F46" s="92"/>
      <c r="G46" s="95"/>
      <c r="H46" s="99"/>
      <c r="I46" s="95"/>
      <c r="J46" s="99"/>
      <c r="K46" s="95"/>
    </row>
    <row r="47" ht="27.75" customHeight="1">
      <c r="A47" s="91"/>
      <c r="B47" s="91"/>
      <c r="C47" s="91"/>
      <c r="D47" s="92"/>
      <c r="E47" s="92"/>
      <c r="F47" s="92"/>
      <c r="G47" s="95"/>
      <c r="H47" s="99"/>
      <c r="I47" s="95"/>
      <c r="J47" s="99"/>
      <c r="K47" s="95"/>
    </row>
    <row r="48" ht="173.25" customHeight="1">
      <c r="A48" s="91"/>
      <c r="B48" s="91"/>
      <c r="C48" s="91"/>
      <c r="D48" s="92"/>
      <c r="E48" s="92"/>
      <c r="F48" s="92"/>
      <c r="G48" s="95"/>
      <c r="H48" s="99"/>
      <c r="I48" s="95"/>
      <c r="J48" s="99"/>
      <c r="K48" s="95"/>
    </row>
    <row r="49" ht="147.75" customHeight="1">
      <c r="A49" s="91"/>
      <c r="B49" s="91"/>
      <c r="C49" s="91"/>
      <c r="D49" s="92"/>
      <c r="E49" s="92"/>
      <c r="F49" s="92"/>
      <c r="G49" s="95"/>
      <c r="H49" s="99"/>
      <c r="I49" s="95"/>
      <c r="J49" s="99"/>
      <c r="K49" s="95"/>
    </row>
    <row r="50" ht="137.25" customHeight="1">
      <c r="A50" s="91"/>
      <c r="B50" s="91"/>
      <c r="C50" s="91"/>
      <c r="D50" s="92"/>
      <c r="E50" s="92"/>
      <c r="F50" s="92"/>
      <c r="G50" s="95"/>
      <c r="H50" s="99"/>
      <c r="I50" s="95"/>
      <c r="J50" s="99"/>
      <c r="K50" s="95"/>
    </row>
    <row r="51" ht="195.0" customHeight="1">
      <c r="A51" s="91"/>
      <c r="B51" s="91"/>
      <c r="C51" s="91"/>
      <c r="D51" s="92"/>
      <c r="E51" s="92"/>
      <c r="F51" s="92"/>
      <c r="G51" s="95"/>
      <c r="H51" s="99"/>
      <c r="I51" s="95"/>
      <c r="J51" s="99"/>
      <c r="K51" s="95"/>
    </row>
    <row r="52" ht="206.25" customHeight="1">
      <c r="A52" s="91"/>
      <c r="B52" s="91"/>
      <c r="C52" s="91"/>
      <c r="D52" s="92"/>
      <c r="E52" s="92"/>
      <c r="F52" s="92"/>
      <c r="G52" s="95"/>
      <c r="H52" s="99"/>
      <c r="I52" s="95"/>
      <c r="J52" s="99"/>
      <c r="K52" s="95"/>
    </row>
    <row r="53" ht="176.25" customHeight="1">
      <c r="A53" s="91"/>
      <c r="B53" s="91"/>
      <c r="C53" s="91"/>
      <c r="D53" s="92"/>
      <c r="E53" s="92"/>
      <c r="F53" s="92"/>
      <c r="G53" s="95"/>
      <c r="H53" s="99"/>
      <c r="I53" s="95"/>
      <c r="J53" s="99"/>
      <c r="K53" s="95"/>
    </row>
    <row r="54" ht="264.0" customHeight="1">
      <c r="A54" s="91"/>
      <c r="B54" s="91"/>
      <c r="C54" s="91"/>
      <c r="D54" s="92"/>
      <c r="E54" s="92"/>
      <c r="F54" s="92"/>
      <c r="G54" s="95"/>
      <c r="H54" s="99"/>
      <c r="I54" s="95"/>
      <c r="J54" s="99"/>
      <c r="K54" s="95"/>
    </row>
    <row r="55" ht="166.5" customHeight="1">
      <c r="A55" s="91"/>
      <c r="B55" s="91"/>
      <c r="C55" s="91"/>
      <c r="D55" s="92"/>
      <c r="E55" s="92"/>
      <c r="F55" s="92"/>
      <c r="G55" s="95"/>
      <c r="H55" s="99"/>
      <c r="I55" s="95"/>
      <c r="J55" s="99"/>
      <c r="K55" s="95"/>
    </row>
    <row r="56" ht="171.0" customHeight="1">
      <c r="A56" s="91"/>
      <c r="B56" s="91"/>
      <c r="C56" s="91"/>
      <c r="D56" s="92"/>
      <c r="E56" s="92"/>
      <c r="F56" s="92"/>
      <c r="G56" s="95"/>
      <c r="H56" s="99"/>
      <c r="I56" s="95"/>
      <c r="J56" s="99"/>
      <c r="K56" s="95"/>
    </row>
    <row r="57" ht="255.0" customHeight="1">
      <c r="A57" s="91"/>
      <c r="B57" s="91"/>
      <c r="C57" s="91"/>
      <c r="D57" s="92"/>
      <c r="E57" s="92"/>
      <c r="F57" s="92"/>
      <c r="G57" s="95"/>
      <c r="H57" s="99"/>
      <c r="I57" s="95"/>
      <c r="J57" s="99"/>
      <c r="K57" s="95"/>
    </row>
    <row r="58" ht="165.0" customHeight="1">
      <c r="A58" s="91"/>
      <c r="B58" s="91"/>
      <c r="C58" s="91"/>
      <c r="D58" s="92"/>
      <c r="E58" s="92"/>
      <c r="F58" s="92"/>
      <c r="G58" s="95"/>
      <c r="H58" s="99"/>
      <c r="I58" s="95"/>
      <c r="J58" s="99"/>
      <c r="K58" s="95"/>
    </row>
    <row r="59" ht="156.75" customHeight="1">
      <c r="A59" s="91"/>
      <c r="B59" s="91"/>
      <c r="C59" s="91"/>
      <c r="D59" s="92"/>
      <c r="E59" s="92"/>
      <c r="F59" s="92"/>
      <c r="G59" s="95"/>
      <c r="H59" s="99"/>
      <c r="I59" s="95"/>
      <c r="J59" s="99"/>
      <c r="K59" s="95"/>
    </row>
    <row r="60" ht="156.75" customHeight="1">
      <c r="A60" s="91"/>
      <c r="B60" s="91"/>
      <c r="C60" s="91"/>
      <c r="D60" s="92"/>
      <c r="E60" s="92"/>
      <c r="F60" s="92"/>
      <c r="G60" s="95"/>
      <c r="H60" s="99"/>
      <c r="I60" s="95"/>
      <c r="J60" s="99"/>
      <c r="K60" s="95"/>
    </row>
    <row r="61" ht="223.5" customHeight="1">
      <c r="A61" s="91"/>
      <c r="B61" s="91"/>
      <c r="C61" s="91"/>
      <c r="D61" s="92"/>
      <c r="E61" s="92"/>
      <c r="F61" s="92"/>
      <c r="G61" s="95"/>
      <c r="H61" s="99"/>
      <c r="I61" s="95"/>
      <c r="J61" s="99"/>
      <c r="K61" s="95"/>
    </row>
    <row r="62" ht="230.25" customHeight="1">
      <c r="A62" s="91"/>
      <c r="B62" s="91"/>
      <c r="C62" s="91"/>
      <c r="D62" s="92"/>
      <c r="E62" s="92"/>
      <c r="F62" s="92"/>
      <c r="G62" s="95"/>
      <c r="H62" s="99"/>
      <c r="I62" s="95"/>
      <c r="J62" s="99"/>
      <c r="K62" s="95"/>
    </row>
    <row r="63" ht="234.0" customHeight="1">
      <c r="A63" s="91"/>
      <c r="B63" s="91"/>
      <c r="C63" s="91"/>
      <c r="D63" s="92"/>
      <c r="E63" s="92"/>
      <c r="F63" s="92"/>
      <c r="G63" s="95"/>
      <c r="H63" s="99"/>
      <c r="I63" s="95"/>
      <c r="J63" s="99"/>
      <c r="K63" s="95"/>
    </row>
    <row r="64" ht="135.0" customHeight="1">
      <c r="A64" s="91"/>
      <c r="B64" s="91"/>
      <c r="C64" s="91"/>
      <c r="D64" s="92"/>
      <c r="E64" s="92"/>
      <c r="F64" s="92"/>
      <c r="G64" s="95"/>
      <c r="H64" s="99"/>
      <c r="I64" s="95"/>
      <c r="J64" s="99"/>
      <c r="K64" s="95"/>
    </row>
    <row r="65" ht="144.0" customHeight="1">
      <c r="A65" s="91"/>
      <c r="B65" s="91"/>
      <c r="C65" s="91"/>
      <c r="D65" s="92"/>
      <c r="E65" s="92"/>
      <c r="F65" s="92"/>
      <c r="G65" s="95"/>
      <c r="H65" s="99"/>
      <c r="I65" s="95"/>
      <c r="J65" s="99"/>
      <c r="K65" s="95"/>
    </row>
    <row r="66" ht="156.0" customHeight="1">
      <c r="A66" s="91"/>
      <c r="B66" s="91"/>
      <c r="C66" s="91"/>
      <c r="D66" s="92"/>
      <c r="E66" s="92"/>
      <c r="F66" s="92"/>
      <c r="G66" s="95"/>
      <c r="H66" s="99"/>
      <c r="I66" s="95"/>
      <c r="J66" s="99"/>
      <c r="K66" s="95"/>
    </row>
    <row r="67" ht="212.25" customHeight="1">
      <c r="A67" s="91"/>
      <c r="B67" s="91"/>
      <c r="C67" s="91"/>
      <c r="D67" s="92"/>
      <c r="E67" s="92"/>
      <c r="F67" s="92"/>
      <c r="G67" s="95"/>
      <c r="H67" s="99"/>
      <c r="I67" s="95"/>
      <c r="J67" s="99"/>
      <c r="K67" s="95"/>
    </row>
    <row r="68" ht="216.75" customHeight="1">
      <c r="A68" s="91"/>
      <c r="B68" s="91"/>
      <c r="C68" s="91"/>
      <c r="D68" s="92"/>
      <c r="E68" s="92"/>
      <c r="F68" s="92"/>
      <c r="G68" s="95"/>
      <c r="H68" s="99"/>
      <c r="I68" s="95"/>
      <c r="J68" s="99"/>
      <c r="K68" s="95"/>
    </row>
    <row r="69" ht="158.25" customHeight="1">
      <c r="A69" s="91"/>
      <c r="B69" s="91"/>
      <c r="C69" s="91"/>
      <c r="D69" s="92"/>
      <c r="E69" s="92"/>
      <c r="F69" s="92"/>
      <c r="G69" s="95"/>
      <c r="H69" s="99"/>
      <c r="I69" s="95"/>
      <c r="J69" s="99"/>
      <c r="K69" s="95"/>
    </row>
    <row r="70" ht="33.75" customHeight="1">
      <c r="A70" s="91"/>
      <c r="B70" s="103"/>
      <c r="C70" s="104"/>
      <c r="D70" s="92"/>
      <c r="E70" s="92"/>
      <c r="F70" s="92"/>
      <c r="G70" s="95"/>
      <c r="H70" s="99"/>
      <c r="I70" s="95"/>
      <c r="J70" s="99"/>
      <c r="K70" s="95"/>
    </row>
    <row r="71" ht="28.5" customHeight="1">
      <c r="A71" s="91"/>
      <c r="B71" s="103"/>
      <c r="C71" s="104"/>
      <c r="D71" s="92"/>
      <c r="E71" s="92"/>
      <c r="F71" s="92"/>
      <c r="G71" s="95"/>
      <c r="H71" s="99"/>
      <c r="I71" s="95"/>
      <c r="J71" s="99"/>
      <c r="K71" s="95"/>
    </row>
    <row r="72" ht="30.0" customHeight="1">
      <c r="A72" s="91"/>
      <c r="B72" s="103"/>
      <c r="C72" s="104"/>
      <c r="D72" s="92"/>
      <c r="E72" s="92"/>
      <c r="F72" s="92"/>
      <c r="G72" s="95"/>
      <c r="H72" s="99"/>
      <c r="I72" s="95"/>
      <c r="J72" s="99"/>
      <c r="K72" s="95"/>
    </row>
    <row r="73" ht="189.75" customHeight="1">
      <c r="A73" s="91"/>
      <c r="B73" s="103"/>
      <c r="C73" s="104"/>
      <c r="D73" s="92"/>
      <c r="E73" s="92"/>
      <c r="F73" s="92"/>
      <c r="G73" s="95"/>
      <c r="H73" s="99"/>
      <c r="I73" s="95"/>
      <c r="J73" s="99"/>
      <c r="K73" s="95"/>
    </row>
    <row r="74" ht="229.5" customHeight="1">
      <c r="A74" s="91"/>
      <c r="B74" s="103"/>
      <c r="C74" s="104"/>
      <c r="D74" s="92"/>
      <c r="E74" s="92"/>
      <c r="F74" s="92"/>
      <c r="G74" s="95"/>
      <c r="H74" s="99"/>
      <c r="I74" s="95"/>
      <c r="J74" s="99"/>
      <c r="K74" s="95"/>
    </row>
    <row r="75" ht="130.5" customHeight="1">
      <c r="A75" s="91"/>
      <c r="B75" s="103"/>
      <c r="C75" s="104"/>
      <c r="D75" s="92"/>
      <c r="E75" s="92"/>
      <c r="F75" s="92"/>
      <c r="G75" s="95"/>
      <c r="H75" s="99"/>
      <c r="I75" s="95"/>
      <c r="J75" s="99"/>
      <c r="K75" s="95"/>
    </row>
    <row r="76" ht="178.5" customHeight="1">
      <c r="A76" s="91"/>
      <c r="B76" s="103"/>
      <c r="C76" s="104"/>
      <c r="D76" s="92"/>
      <c r="E76" s="92"/>
      <c r="F76" s="92"/>
      <c r="G76" s="95"/>
      <c r="H76" s="99"/>
      <c r="I76" s="95"/>
      <c r="J76" s="99"/>
      <c r="K76" s="95"/>
    </row>
    <row r="77" ht="217.5" customHeight="1">
      <c r="A77" s="91"/>
      <c r="B77" s="103"/>
      <c r="C77" s="104"/>
      <c r="D77" s="92"/>
      <c r="E77" s="92"/>
      <c r="F77" s="92"/>
      <c r="G77" s="95"/>
      <c r="H77" s="99"/>
      <c r="I77" s="95"/>
      <c r="J77" s="99"/>
      <c r="K77" s="95"/>
    </row>
    <row r="78" ht="90.0" customHeight="1">
      <c r="A78" s="108"/>
      <c r="B78" s="108"/>
      <c r="C78" s="108"/>
      <c r="D78" s="109"/>
      <c r="E78" s="109"/>
      <c r="F78" s="109"/>
      <c r="G78" s="110"/>
      <c r="H78" s="109"/>
    </row>
    <row r="79" ht="90.0" customHeight="1">
      <c r="A79" s="113"/>
      <c r="B79" s="113"/>
      <c r="C79" s="113"/>
      <c r="D79" s="114"/>
      <c r="E79" s="114"/>
      <c r="F79" s="114"/>
      <c r="G79" s="115"/>
      <c r="H79" s="114"/>
    </row>
    <row r="80" ht="90.0" customHeight="1">
      <c r="A80" s="113"/>
      <c r="B80" s="113"/>
      <c r="C80" s="113"/>
      <c r="D80" s="114"/>
      <c r="E80" s="114"/>
      <c r="F80" s="114"/>
      <c r="G80" s="115"/>
      <c r="H80" s="114"/>
    </row>
    <row r="81" ht="90.0" customHeight="1"/>
    <row r="82" ht="90.0" customHeight="1"/>
    <row r="83" ht="90.0" customHeight="1"/>
    <row r="84" ht="90.0"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$M$5:$Q$5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31.0"/>
    <col customWidth="1" min="8" max="8" width="34.14"/>
    <col customWidth="1" min="9" max="9" width="29.43"/>
    <col customWidth="1" min="10" max="10" width="26.29"/>
    <col customWidth="1" min="11" max="11" width="27.71"/>
    <col customWidth="1" min="12" max="26" width="8.71"/>
  </cols>
  <sheetData>
    <row r="1" ht="30.0" customHeight="1">
      <c r="A1" s="1" t="s">
        <v>2</v>
      </c>
      <c r="B1" s="3"/>
      <c r="C1" s="3"/>
      <c r="D1" s="3"/>
      <c r="E1" s="3"/>
      <c r="F1" s="3"/>
      <c r="G1" s="3"/>
      <c r="H1" s="3"/>
      <c r="I1" s="3"/>
      <c r="J1" s="3"/>
      <c r="K1" s="5"/>
    </row>
    <row r="2" ht="24.75" customHeight="1">
      <c r="A2" s="8" t="s">
        <v>7</v>
      </c>
      <c r="B2" s="3"/>
      <c r="C2" s="3"/>
      <c r="D2" s="3"/>
      <c r="E2" s="3"/>
      <c r="F2" s="3"/>
      <c r="G2" s="3"/>
      <c r="H2" s="3"/>
      <c r="I2" s="3"/>
      <c r="J2" s="3"/>
      <c r="K2" s="5"/>
    </row>
    <row r="3" ht="7.5" customHeight="1"/>
    <row r="4" ht="34.5" customHeight="1">
      <c r="A4" s="10" t="s">
        <v>9</v>
      </c>
      <c r="B4" s="10" t="s">
        <v>10</v>
      </c>
      <c r="C4" s="10" t="s">
        <v>12</v>
      </c>
      <c r="D4" s="10" t="s">
        <v>13</v>
      </c>
      <c r="E4" s="10" t="s">
        <v>14</v>
      </c>
      <c r="F4" s="10" t="s">
        <v>15</v>
      </c>
      <c r="G4" s="10" t="s">
        <v>16</v>
      </c>
      <c r="H4" s="10" t="s">
        <v>17</v>
      </c>
      <c r="I4" s="10" t="s">
        <v>18</v>
      </c>
      <c r="J4" s="10" t="s">
        <v>19</v>
      </c>
      <c r="K4" s="10" t="s">
        <v>21</v>
      </c>
    </row>
    <row r="5" ht="90.0" customHeight="1">
      <c r="A5" s="13">
        <v>1.0</v>
      </c>
      <c r="B5" s="13" t="s">
        <v>22</v>
      </c>
      <c r="C5" s="13" t="s">
        <v>24</v>
      </c>
      <c r="D5" s="14" t="s">
        <v>26</v>
      </c>
      <c r="E5" s="14" t="s">
        <v>28</v>
      </c>
      <c r="F5" s="14" t="s">
        <v>28</v>
      </c>
      <c r="G5" s="17"/>
      <c r="H5" s="20"/>
      <c r="I5" s="17"/>
      <c r="J5" s="20"/>
      <c r="K5" s="17"/>
    </row>
    <row r="6" ht="147.75" customHeight="1">
      <c r="A6" s="24">
        <v>2.0</v>
      </c>
      <c r="B6" s="24" t="s">
        <v>22</v>
      </c>
      <c r="C6" s="24" t="s">
        <v>33</v>
      </c>
      <c r="D6" s="27" t="s">
        <v>34</v>
      </c>
      <c r="E6" s="27" t="s">
        <v>43</v>
      </c>
      <c r="F6" s="27" t="s">
        <v>44</v>
      </c>
      <c r="G6" s="29">
        <v>3.0</v>
      </c>
      <c r="H6" s="29">
        <v>4.0</v>
      </c>
      <c r="I6" s="29">
        <v>4.0</v>
      </c>
      <c r="J6" s="29">
        <v>3.0</v>
      </c>
      <c r="K6" s="17">
        <f t="shared" ref="K6:K38" si="1">AVERAGE(G6:J6)</f>
        <v>3.5</v>
      </c>
    </row>
    <row r="7" ht="182.25" customHeight="1">
      <c r="A7" s="13">
        <v>3.0</v>
      </c>
      <c r="B7" s="38" t="s">
        <v>22</v>
      </c>
      <c r="C7" s="38" t="s">
        <v>58</v>
      </c>
      <c r="D7" s="40" t="s">
        <v>59</v>
      </c>
      <c r="E7" s="40" t="s">
        <v>67</v>
      </c>
      <c r="F7" s="40" t="s">
        <v>71</v>
      </c>
      <c r="G7" s="41">
        <v>3.0</v>
      </c>
      <c r="H7" s="41">
        <v>4.0</v>
      </c>
      <c r="I7" s="41">
        <v>4.0</v>
      </c>
      <c r="J7" s="44">
        <v>4.0</v>
      </c>
      <c r="K7" s="17">
        <f t="shared" si="1"/>
        <v>3.75</v>
      </c>
    </row>
    <row r="8" ht="207.75" customHeight="1">
      <c r="A8" s="24">
        <v>4.0</v>
      </c>
      <c r="B8" s="24" t="s">
        <v>72</v>
      </c>
      <c r="C8" s="24" t="s">
        <v>24</v>
      </c>
      <c r="D8" s="27" t="s">
        <v>73</v>
      </c>
      <c r="E8" s="27" t="s">
        <v>92</v>
      </c>
      <c r="F8" s="27" t="s">
        <v>94</v>
      </c>
      <c r="G8" s="29">
        <v>4.0</v>
      </c>
      <c r="H8" s="29">
        <v>4.0</v>
      </c>
      <c r="I8" s="29">
        <v>4.0</v>
      </c>
      <c r="J8" s="49">
        <v>4.0</v>
      </c>
      <c r="K8" s="17">
        <f t="shared" si="1"/>
        <v>4</v>
      </c>
    </row>
    <row r="9" ht="172.5" customHeight="1">
      <c r="A9" s="13">
        <v>5.0</v>
      </c>
      <c r="B9" s="13" t="s">
        <v>72</v>
      </c>
      <c r="C9" s="13" t="s">
        <v>58</v>
      </c>
      <c r="D9" s="14" t="s">
        <v>95</v>
      </c>
      <c r="E9" s="14" t="s">
        <v>109</v>
      </c>
      <c r="F9" s="14" t="s">
        <v>113</v>
      </c>
      <c r="G9" s="41">
        <v>3.0</v>
      </c>
      <c r="H9" s="41">
        <v>2.0</v>
      </c>
      <c r="I9" s="41">
        <v>2.0</v>
      </c>
      <c r="J9" s="44">
        <v>4.0</v>
      </c>
      <c r="K9" s="17">
        <f t="shared" si="1"/>
        <v>2.75</v>
      </c>
    </row>
    <row r="10" ht="260.25" customHeight="1">
      <c r="A10" s="24">
        <v>6.0</v>
      </c>
      <c r="B10" s="24" t="s">
        <v>72</v>
      </c>
      <c r="C10" s="24" t="s">
        <v>115</v>
      </c>
      <c r="D10" s="27" t="s">
        <v>117</v>
      </c>
      <c r="E10" s="27" t="s">
        <v>131</v>
      </c>
      <c r="F10" s="27" t="s">
        <v>133</v>
      </c>
      <c r="G10" s="29">
        <v>3.0</v>
      </c>
      <c r="H10" s="29">
        <v>4.0</v>
      </c>
      <c r="I10" s="29">
        <v>4.0</v>
      </c>
      <c r="J10" s="49">
        <v>4.0</v>
      </c>
      <c r="K10" s="17">
        <f t="shared" si="1"/>
        <v>3.75</v>
      </c>
    </row>
    <row r="11" ht="165.75" customHeight="1">
      <c r="A11" s="13">
        <v>7.0</v>
      </c>
      <c r="B11" s="13" t="s">
        <v>130</v>
      </c>
      <c r="C11" s="13" t="s">
        <v>24</v>
      </c>
      <c r="D11" s="14" t="s">
        <v>132</v>
      </c>
      <c r="E11" s="14" t="s">
        <v>141</v>
      </c>
      <c r="F11" s="14" t="s">
        <v>143</v>
      </c>
      <c r="G11" s="41">
        <v>4.0</v>
      </c>
      <c r="H11" s="41">
        <v>3.0</v>
      </c>
      <c r="I11" s="41">
        <v>4.0</v>
      </c>
      <c r="J11" s="44">
        <v>4.0</v>
      </c>
      <c r="K11" s="17">
        <f t="shared" si="1"/>
        <v>3.75</v>
      </c>
    </row>
    <row r="12" ht="279.75" customHeight="1">
      <c r="A12" s="24">
        <v>8.0</v>
      </c>
      <c r="B12" s="24" t="s">
        <v>130</v>
      </c>
      <c r="C12" s="24" t="s">
        <v>58</v>
      </c>
      <c r="D12" s="27" t="s">
        <v>138</v>
      </c>
      <c r="E12" s="27" t="s">
        <v>157</v>
      </c>
      <c r="F12" s="27" t="s">
        <v>160</v>
      </c>
      <c r="G12" s="29">
        <v>3.0</v>
      </c>
      <c r="H12" s="29">
        <v>4.0</v>
      </c>
      <c r="I12" s="29">
        <v>4.0</v>
      </c>
      <c r="J12" s="49">
        <v>4.0</v>
      </c>
      <c r="K12" s="17">
        <f t="shared" si="1"/>
        <v>3.75</v>
      </c>
    </row>
    <row r="13" ht="206.25" customHeight="1">
      <c r="A13" s="13">
        <v>9.0</v>
      </c>
      <c r="B13" s="38" t="s">
        <v>144</v>
      </c>
      <c r="C13" s="38" t="s">
        <v>145</v>
      </c>
      <c r="D13" s="40" t="s">
        <v>146</v>
      </c>
      <c r="E13" s="40" t="s">
        <v>176</v>
      </c>
      <c r="F13" s="40" t="s">
        <v>177</v>
      </c>
      <c r="G13" s="41">
        <v>3.0</v>
      </c>
      <c r="H13" s="41">
        <v>4.0</v>
      </c>
      <c r="I13" s="41">
        <v>4.0</v>
      </c>
      <c r="J13" s="44">
        <v>3.0</v>
      </c>
      <c r="K13" s="17">
        <f t="shared" si="1"/>
        <v>3.5</v>
      </c>
    </row>
    <row r="14" ht="214.5" customHeight="1">
      <c r="A14" s="24">
        <v>10.0</v>
      </c>
      <c r="B14" s="24" t="s">
        <v>152</v>
      </c>
      <c r="C14" s="24" t="s">
        <v>24</v>
      </c>
      <c r="D14" s="27" t="s">
        <v>154</v>
      </c>
      <c r="E14" s="27" t="s">
        <v>186</v>
      </c>
      <c r="F14" s="27" t="s">
        <v>189</v>
      </c>
      <c r="G14" s="29">
        <v>3.0</v>
      </c>
      <c r="H14" s="29">
        <v>4.0</v>
      </c>
      <c r="I14" s="29">
        <v>4.0</v>
      </c>
      <c r="J14" s="49">
        <v>3.0</v>
      </c>
      <c r="K14" s="17">
        <f t="shared" si="1"/>
        <v>3.5</v>
      </c>
    </row>
    <row r="15" ht="138.0" customHeight="1">
      <c r="A15" s="13">
        <v>11.0</v>
      </c>
      <c r="B15" s="13" t="s">
        <v>165</v>
      </c>
      <c r="C15" s="13" t="s">
        <v>24</v>
      </c>
      <c r="D15" s="14" t="s">
        <v>166</v>
      </c>
      <c r="E15" s="14" t="s">
        <v>194</v>
      </c>
      <c r="F15" s="14" t="s">
        <v>197</v>
      </c>
      <c r="G15" s="41">
        <v>4.0</v>
      </c>
      <c r="H15" s="41">
        <v>4.0</v>
      </c>
      <c r="I15" s="41">
        <v>5.0</v>
      </c>
      <c r="J15" s="44">
        <v>4.0</v>
      </c>
      <c r="K15" s="17">
        <f t="shared" si="1"/>
        <v>4.25</v>
      </c>
    </row>
    <row r="16" ht="172.5" customHeight="1">
      <c r="A16" s="24">
        <v>12.0</v>
      </c>
      <c r="B16" s="24" t="s">
        <v>165</v>
      </c>
      <c r="C16" s="24" t="s">
        <v>175</v>
      </c>
      <c r="D16" s="27" t="s">
        <v>178</v>
      </c>
      <c r="E16" s="72" t="s">
        <v>204</v>
      </c>
      <c r="F16" s="27" t="s">
        <v>207</v>
      </c>
      <c r="G16" s="29">
        <v>4.0</v>
      </c>
      <c r="H16" s="29">
        <v>4.0</v>
      </c>
      <c r="I16" s="29">
        <v>5.0</v>
      </c>
      <c r="J16" s="49">
        <v>4.0</v>
      </c>
      <c r="K16" s="17">
        <f t="shared" si="1"/>
        <v>4.25</v>
      </c>
    </row>
    <row r="17" ht="173.25" customHeight="1">
      <c r="A17" s="13">
        <v>13.0</v>
      </c>
      <c r="B17" s="38" t="s">
        <v>165</v>
      </c>
      <c r="C17" s="38" t="s">
        <v>184</v>
      </c>
      <c r="D17" s="40" t="s">
        <v>185</v>
      </c>
      <c r="E17" s="40" t="s">
        <v>215</v>
      </c>
      <c r="F17" s="40" t="s">
        <v>217</v>
      </c>
      <c r="G17" s="41">
        <v>4.0</v>
      </c>
      <c r="H17" s="41">
        <v>4.0</v>
      </c>
      <c r="I17" s="41">
        <v>4.0</v>
      </c>
      <c r="J17" s="44">
        <v>4.0</v>
      </c>
      <c r="K17" s="17">
        <f t="shared" si="1"/>
        <v>4</v>
      </c>
    </row>
    <row r="18" ht="226.5" customHeight="1">
      <c r="A18" s="24">
        <v>14.0</v>
      </c>
      <c r="B18" s="24" t="s">
        <v>190</v>
      </c>
      <c r="C18" s="24" t="s">
        <v>24</v>
      </c>
      <c r="D18" s="27" t="s">
        <v>191</v>
      </c>
      <c r="E18" s="27" t="s">
        <v>225</v>
      </c>
      <c r="F18" s="27" t="s">
        <v>228</v>
      </c>
      <c r="G18" s="29">
        <v>2.0</v>
      </c>
      <c r="H18" s="29">
        <v>4.0</v>
      </c>
      <c r="I18" s="29">
        <v>4.0</v>
      </c>
      <c r="J18" s="49">
        <v>4.0</v>
      </c>
      <c r="K18" s="17">
        <f t="shared" si="1"/>
        <v>3.5</v>
      </c>
    </row>
    <row r="19" ht="227.25" customHeight="1">
      <c r="A19" s="13">
        <v>15.0</v>
      </c>
      <c r="B19" s="13" t="s">
        <v>190</v>
      </c>
      <c r="C19" s="13" t="s">
        <v>58</v>
      </c>
      <c r="D19" s="14" t="s">
        <v>198</v>
      </c>
      <c r="E19" s="14" t="s">
        <v>240</v>
      </c>
      <c r="F19" s="14" t="s">
        <v>243</v>
      </c>
      <c r="G19" s="41">
        <v>3.0</v>
      </c>
      <c r="H19" s="41">
        <v>4.0</v>
      </c>
      <c r="I19" s="41">
        <v>5.0</v>
      </c>
      <c r="J19" s="44">
        <v>4.0</v>
      </c>
      <c r="K19" s="17">
        <f t="shared" si="1"/>
        <v>4</v>
      </c>
    </row>
    <row r="20" ht="143.25" customHeight="1">
      <c r="A20" s="24">
        <v>16.0</v>
      </c>
      <c r="B20" s="24" t="s">
        <v>190</v>
      </c>
      <c r="C20" s="24" t="s">
        <v>115</v>
      </c>
      <c r="D20" s="27" t="s">
        <v>201</v>
      </c>
      <c r="E20" s="27" t="s">
        <v>251</v>
      </c>
      <c r="F20" s="27" t="s">
        <v>253</v>
      </c>
      <c r="G20" s="29">
        <v>4.0</v>
      </c>
      <c r="H20" s="29">
        <v>3.0</v>
      </c>
      <c r="I20" s="29">
        <v>5.0</v>
      </c>
      <c r="J20" s="49">
        <v>4.0</v>
      </c>
      <c r="K20" s="17">
        <f t="shared" si="1"/>
        <v>4</v>
      </c>
    </row>
    <row r="21" ht="192.75" customHeight="1">
      <c r="A21" s="13">
        <v>17.0</v>
      </c>
      <c r="B21" s="38" t="s">
        <v>208</v>
      </c>
      <c r="C21" s="38" t="s">
        <v>58</v>
      </c>
      <c r="D21" s="40" t="s">
        <v>209</v>
      </c>
      <c r="E21" s="40" t="s">
        <v>262</v>
      </c>
      <c r="F21" s="40" t="s">
        <v>263</v>
      </c>
      <c r="G21" s="41">
        <v>3.0</v>
      </c>
      <c r="H21" s="41">
        <v>4.0</v>
      </c>
      <c r="I21" s="41">
        <v>5.0</v>
      </c>
      <c r="J21" s="44">
        <v>4.0</v>
      </c>
      <c r="K21" s="17">
        <f t="shared" si="1"/>
        <v>4</v>
      </c>
    </row>
    <row r="22" ht="164.25" customHeight="1">
      <c r="A22" s="24">
        <v>18.0</v>
      </c>
      <c r="B22" s="23" t="s">
        <v>208</v>
      </c>
      <c r="C22" s="23" t="s">
        <v>115</v>
      </c>
      <c r="D22" s="26" t="s">
        <v>214</v>
      </c>
      <c r="E22" s="26" t="s">
        <v>272</v>
      </c>
      <c r="F22" s="26" t="s">
        <v>274</v>
      </c>
      <c r="G22" s="29">
        <v>4.0</v>
      </c>
      <c r="H22" s="29">
        <v>4.0</v>
      </c>
      <c r="I22" s="29">
        <v>5.0</v>
      </c>
      <c r="J22" s="49">
        <v>5.0</v>
      </c>
      <c r="K22" s="17">
        <f t="shared" si="1"/>
        <v>4.5</v>
      </c>
    </row>
    <row r="23" ht="198.0" customHeight="1">
      <c r="A23" s="13">
        <v>19.0</v>
      </c>
      <c r="B23" s="38" t="s">
        <v>220</v>
      </c>
      <c r="C23" s="38" t="s">
        <v>24</v>
      </c>
      <c r="D23" s="40" t="s">
        <v>221</v>
      </c>
      <c r="E23" s="40" t="s">
        <v>283</v>
      </c>
      <c r="F23" s="40" t="s">
        <v>284</v>
      </c>
      <c r="G23" s="41">
        <v>4.0</v>
      </c>
      <c r="H23" s="41">
        <v>4.0</v>
      </c>
      <c r="I23" s="41">
        <v>4.0</v>
      </c>
      <c r="J23" s="44">
        <v>4.0</v>
      </c>
      <c r="K23" s="17">
        <f t="shared" si="1"/>
        <v>4</v>
      </c>
    </row>
    <row r="24" ht="222.0" customHeight="1">
      <c r="A24" s="24">
        <v>20.0</v>
      </c>
      <c r="B24" s="24" t="s">
        <v>220</v>
      </c>
      <c r="C24" s="24" t="s">
        <v>115</v>
      </c>
      <c r="D24" s="27" t="s">
        <v>226</v>
      </c>
      <c r="E24" s="27" t="s">
        <v>292</v>
      </c>
      <c r="F24" s="27" t="s">
        <v>293</v>
      </c>
      <c r="G24" s="29">
        <v>4.0</v>
      </c>
      <c r="H24" s="29">
        <v>4.0</v>
      </c>
      <c r="I24" s="29">
        <v>3.0</v>
      </c>
      <c r="J24" s="49">
        <v>4.0</v>
      </c>
      <c r="K24" s="17">
        <f t="shared" si="1"/>
        <v>3.75</v>
      </c>
    </row>
    <row r="25" ht="205.5" customHeight="1">
      <c r="A25" s="13">
        <v>21.0</v>
      </c>
      <c r="B25" s="75" t="s">
        <v>232</v>
      </c>
      <c r="C25" s="75" t="s">
        <v>24</v>
      </c>
      <c r="D25" s="76" t="s">
        <v>233</v>
      </c>
      <c r="E25" s="76" t="s">
        <v>299</v>
      </c>
      <c r="F25" s="76" t="s">
        <v>300</v>
      </c>
      <c r="G25" s="41">
        <v>4.0</v>
      </c>
      <c r="H25" s="41">
        <v>3.0</v>
      </c>
      <c r="I25" s="41">
        <v>4.0</v>
      </c>
      <c r="J25" s="44">
        <v>4.0</v>
      </c>
      <c r="K25" s="17">
        <f t="shared" si="1"/>
        <v>3.75</v>
      </c>
    </row>
    <row r="26" ht="163.5" customHeight="1">
      <c r="A26" s="24">
        <v>22.0</v>
      </c>
      <c r="B26" s="81" t="s">
        <v>238</v>
      </c>
      <c r="C26" s="81" t="s">
        <v>24</v>
      </c>
      <c r="D26" s="82" t="s">
        <v>239</v>
      </c>
      <c r="E26" s="82" t="s">
        <v>308</v>
      </c>
      <c r="F26" s="82" t="s">
        <v>309</v>
      </c>
      <c r="G26" s="29">
        <v>3.0</v>
      </c>
      <c r="H26" s="29">
        <v>4.0</v>
      </c>
      <c r="I26" s="29">
        <v>5.0</v>
      </c>
      <c r="J26" s="49">
        <v>4.0</v>
      </c>
      <c r="K26" s="17">
        <f t="shared" si="1"/>
        <v>4</v>
      </c>
    </row>
    <row r="27" ht="157.5" customHeight="1">
      <c r="A27" s="13">
        <v>23.0</v>
      </c>
      <c r="B27" s="75" t="s">
        <v>244</v>
      </c>
      <c r="C27" s="75" t="s">
        <v>58</v>
      </c>
      <c r="D27" s="76" t="s">
        <v>245</v>
      </c>
      <c r="E27" s="76" t="s">
        <v>311</v>
      </c>
      <c r="F27" s="76" t="s">
        <v>312</v>
      </c>
      <c r="G27" s="41">
        <v>4.0</v>
      </c>
      <c r="H27" s="41">
        <v>4.0</v>
      </c>
      <c r="I27" s="41">
        <v>5.0</v>
      </c>
      <c r="J27" s="44">
        <v>4.0</v>
      </c>
      <c r="K27" s="17">
        <f t="shared" si="1"/>
        <v>4.25</v>
      </c>
    </row>
    <row r="28" ht="150.75" customHeight="1">
      <c r="A28" s="24">
        <v>24.0</v>
      </c>
      <c r="B28" s="81" t="s">
        <v>249</v>
      </c>
      <c r="C28" s="81" t="s">
        <v>24</v>
      </c>
      <c r="D28" s="82" t="s">
        <v>252</v>
      </c>
      <c r="E28" s="82" t="s">
        <v>317</v>
      </c>
      <c r="F28" s="82" t="s">
        <v>318</v>
      </c>
      <c r="G28" s="29">
        <v>4.0</v>
      </c>
      <c r="H28" s="29">
        <v>3.0</v>
      </c>
      <c r="I28" s="29">
        <v>4.0</v>
      </c>
      <c r="J28" s="49">
        <v>4.0</v>
      </c>
      <c r="K28" s="17">
        <f t="shared" si="1"/>
        <v>3.75</v>
      </c>
    </row>
    <row r="29" ht="216.75" customHeight="1">
      <c r="A29" s="13">
        <v>25.0</v>
      </c>
      <c r="B29" s="94" t="s">
        <v>256</v>
      </c>
      <c r="C29" s="94" t="s">
        <v>24</v>
      </c>
      <c r="D29" s="96" t="s">
        <v>258</v>
      </c>
      <c r="E29" s="96" t="s">
        <v>324</v>
      </c>
      <c r="F29" s="96" t="s">
        <v>326</v>
      </c>
      <c r="G29" s="41">
        <v>4.0</v>
      </c>
      <c r="H29" s="41">
        <v>4.0</v>
      </c>
      <c r="I29" s="41">
        <v>5.0</v>
      </c>
      <c r="J29" s="44">
        <v>4.0</v>
      </c>
      <c r="K29" s="17">
        <f t="shared" si="1"/>
        <v>4.25</v>
      </c>
    </row>
    <row r="30" ht="238.5" customHeight="1">
      <c r="A30" s="24">
        <v>26.0</v>
      </c>
      <c r="B30" s="97" t="s">
        <v>256</v>
      </c>
      <c r="C30" s="97" t="s">
        <v>58</v>
      </c>
      <c r="D30" s="98" t="s">
        <v>264</v>
      </c>
      <c r="E30" s="98" t="s">
        <v>330</v>
      </c>
      <c r="F30" s="98" t="s">
        <v>331</v>
      </c>
      <c r="G30" s="29">
        <v>3.0</v>
      </c>
      <c r="H30" s="29">
        <v>4.0</v>
      </c>
      <c r="I30" s="29">
        <v>4.0</v>
      </c>
      <c r="J30" s="29">
        <v>4.0</v>
      </c>
      <c r="K30" s="17">
        <f t="shared" si="1"/>
        <v>3.75</v>
      </c>
    </row>
    <row r="31" ht="171.0" customHeight="1">
      <c r="A31" s="13">
        <v>27.0</v>
      </c>
      <c r="B31" s="94" t="s">
        <v>256</v>
      </c>
      <c r="C31" s="94" t="s">
        <v>115</v>
      </c>
      <c r="D31" s="96" t="s">
        <v>267</v>
      </c>
      <c r="E31" s="96" t="s">
        <v>334</v>
      </c>
      <c r="F31" s="96" t="s">
        <v>336</v>
      </c>
      <c r="G31" s="41">
        <v>3.0</v>
      </c>
      <c r="H31" s="41">
        <v>3.0</v>
      </c>
      <c r="I31" s="41">
        <v>4.0</v>
      </c>
      <c r="J31" s="41">
        <v>4.0</v>
      </c>
      <c r="K31" s="17">
        <f t="shared" si="1"/>
        <v>3.5</v>
      </c>
    </row>
    <row r="32" ht="194.25" customHeight="1">
      <c r="A32" s="24">
        <v>28.0</v>
      </c>
      <c r="B32" s="23" t="s">
        <v>273</v>
      </c>
      <c r="C32" s="23" t="s">
        <v>24</v>
      </c>
      <c r="D32" s="26" t="s">
        <v>275</v>
      </c>
      <c r="E32" s="26" t="s">
        <v>340</v>
      </c>
      <c r="F32" s="26" t="s">
        <v>341</v>
      </c>
      <c r="G32" s="29">
        <v>4.0</v>
      </c>
      <c r="H32" s="29">
        <v>4.0</v>
      </c>
      <c r="I32" s="29">
        <v>5.0</v>
      </c>
      <c r="J32" s="29">
        <v>4.0</v>
      </c>
      <c r="K32" s="17">
        <f t="shared" si="1"/>
        <v>4.25</v>
      </c>
    </row>
    <row r="33" ht="203.25" customHeight="1">
      <c r="A33" s="13">
        <v>29.0</v>
      </c>
      <c r="B33" s="38" t="s">
        <v>273</v>
      </c>
      <c r="C33" s="38" t="s">
        <v>58</v>
      </c>
      <c r="D33" s="40" t="s">
        <v>278</v>
      </c>
      <c r="E33" s="40" t="s">
        <v>344</v>
      </c>
      <c r="F33" s="40" t="s">
        <v>345</v>
      </c>
      <c r="G33" s="41">
        <v>4.0</v>
      </c>
      <c r="H33" s="41">
        <v>4.0</v>
      </c>
      <c r="I33" s="41">
        <v>5.0</v>
      </c>
      <c r="J33" s="41">
        <v>4.0</v>
      </c>
      <c r="K33" s="17">
        <f t="shared" si="1"/>
        <v>4.25</v>
      </c>
    </row>
    <row r="34" ht="168.0" customHeight="1">
      <c r="A34" s="24">
        <v>30.0</v>
      </c>
      <c r="B34" s="24" t="s">
        <v>273</v>
      </c>
      <c r="C34" s="24" t="s">
        <v>115</v>
      </c>
      <c r="D34" s="27" t="s">
        <v>285</v>
      </c>
      <c r="E34" s="27" t="s">
        <v>348</v>
      </c>
      <c r="F34" s="27" t="s">
        <v>349</v>
      </c>
      <c r="G34" s="29">
        <v>3.0</v>
      </c>
      <c r="H34" s="29">
        <v>3.0</v>
      </c>
      <c r="I34" s="29">
        <v>3.0</v>
      </c>
      <c r="J34" s="29">
        <v>4.0</v>
      </c>
      <c r="K34" s="17">
        <f t="shared" si="1"/>
        <v>3.25</v>
      </c>
    </row>
    <row r="35" ht="204.0" customHeight="1">
      <c r="A35" s="13">
        <v>31.0</v>
      </c>
      <c r="B35" s="38" t="s">
        <v>288</v>
      </c>
      <c r="C35" s="38" t="s">
        <v>24</v>
      </c>
      <c r="D35" s="40" t="s">
        <v>289</v>
      </c>
      <c r="E35" s="40" t="s">
        <v>350</v>
      </c>
      <c r="F35" s="40" t="s">
        <v>351</v>
      </c>
      <c r="G35" s="41">
        <v>3.0</v>
      </c>
      <c r="H35" s="41">
        <v>4.0</v>
      </c>
      <c r="I35" s="41">
        <v>3.0</v>
      </c>
      <c r="J35" s="41">
        <v>4.0</v>
      </c>
      <c r="K35" s="17">
        <f t="shared" si="1"/>
        <v>3.5</v>
      </c>
    </row>
    <row r="36" ht="169.5" customHeight="1">
      <c r="A36" s="24">
        <v>32.0</v>
      </c>
      <c r="B36" s="73">
        <v>46197.0</v>
      </c>
      <c r="C36" s="101">
        <v>0.5</v>
      </c>
      <c r="D36" s="98" t="s">
        <v>296</v>
      </c>
      <c r="E36" s="98" t="s">
        <v>354</v>
      </c>
      <c r="F36" s="98" t="s">
        <v>355</v>
      </c>
      <c r="G36" s="29">
        <v>4.0</v>
      </c>
      <c r="H36" s="29">
        <v>4.0</v>
      </c>
      <c r="I36" s="29">
        <v>4.0</v>
      </c>
      <c r="J36" s="29">
        <v>4.0</v>
      </c>
      <c r="K36" s="17">
        <f t="shared" si="1"/>
        <v>4</v>
      </c>
    </row>
    <row r="37" ht="195.75" customHeight="1">
      <c r="A37" s="77">
        <v>33.0</v>
      </c>
      <c r="B37" s="78">
        <v>46197.0</v>
      </c>
      <c r="C37" s="105">
        <v>0.666666666666667</v>
      </c>
      <c r="D37" s="106" t="s">
        <v>303</v>
      </c>
      <c r="E37" s="106" t="s">
        <v>358</v>
      </c>
      <c r="F37" s="106" t="s">
        <v>359</v>
      </c>
      <c r="G37" s="83">
        <v>4.0</v>
      </c>
      <c r="H37" s="83">
        <v>3.0</v>
      </c>
      <c r="I37" s="83">
        <v>3.0</v>
      </c>
      <c r="J37" s="83">
        <v>4.0</v>
      </c>
      <c r="K37" s="84">
        <f t="shared" si="1"/>
        <v>3.5</v>
      </c>
    </row>
    <row r="38" ht="182.25" customHeight="1">
      <c r="A38" s="85">
        <v>34.0</v>
      </c>
      <c r="B38" s="86">
        <v>46198.0</v>
      </c>
      <c r="C38" s="111">
        <v>0.5</v>
      </c>
      <c r="D38" s="112" t="s">
        <v>314</v>
      </c>
      <c r="E38" s="112" t="s">
        <v>362</v>
      </c>
      <c r="F38" s="112" t="s">
        <v>363</v>
      </c>
      <c r="G38" s="89">
        <v>4.0</v>
      </c>
      <c r="H38" s="89">
        <v>3.0</v>
      </c>
      <c r="I38" s="89">
        <v>3.0</v>
      </c>
      <c r="J38" s="89">
        <v>4.0</v>
      </c>
      <c r="K38" s="90">
        <f t="shared" si="1"/>
        <v>3.5</v>
      </c>
    </row>
    <row r="39" ht="174.75" customHeight="1">
      <c r="A39" s="91"/>
      <c r="B39" s="91"/>
      <c r="C39" s="91"/>
      <c r="D39" s="92"/>
      <c r="E39" s="92"/>
      <c r="F39" s="93" t="s">
        <v>319</v>
      </c>
      <c r="G39" s="95">
        <f t="shared" ref="G39:K39" si="2">SUM(G5:G38)</f>
        <v>116</v>
      </c>
      <c r="H39" s="95">
        <f t="shared" si="2"/>
        <v>122</v>
      </c>
      <c r="I39" s="95">
        <f t="shared" si="2"/>
        <v>136</v>
      </c>
      <c r="J39" s="95">
        <f t="shared" si="2"/>
        <v>130</v>
      </c>
      <c r="K39" s="95">
        <f t="shared" si="2"/>
        <v>126</v>
      </c>
    </row>
    <row r="40" ht="164.25" customHeight="1">
      <c r="A40" s="91"/>
      <c r="B40" s="91"/>
      <c r="C40" s="91"/>
      <c r="D40" s="92"/>
      <c r="E40" s="92"/>
      <c r="F40" s="93" t="s">
        <v>325</v>
      </c>
      <c r="G40" s="95">
        <f t="shared" ref="G40:K40" si="3">ROUND(AVERAGE(G5:G38), 2)</f>
        <v>3.52</v>
      </c>
      <c r="H40" s="95">
        <f t="shared" si="3"/>
        <v>3.7</v>
      </c>
      <c r="I40" s="95">
        <f t="shared" si="3"/>
        <v>4.12</v>
      </c>
      <c r="J40" s="95">
        <f t="shared" si="3"/>
        <v>3.94</v>
      </c>
      <c r="K40" s="95">
        <f t="shared" si="3"/>
        <v>3.82</v>
      </c>
    </row>
    <row r="41" ht="33.0" customHeight="1">
      <c r="A41" s="91"/>
      <c r="B41" s="91"/>
      <c r="C41" s="91"/>
      <c r="D41" s="92"/>
      <c r="E41" s="92"/>
      <c r="F41" s="93" t="s">
        <v>329</v>
      </c>
      <c r="G41" s="95">
        <f t="shared" ref="G41:K41" si="4">ROUND(_xlfn.STDEV.S(G6:G38),2)</f>
        <v>0.57</v>
      </c>
      <c r="H41" s="95">
        <f t="shared" si="4"/>
        <v>0.53</v>
      </c>
      <c r="I41" s="95">
        <f t="shared" si="4"/>
        <v>0.78</v>
      </c>
      <c r="J41" s="95">
        <f t="shared" si="4"/>
        <v>0.35</v>
      </c>
      <c r="K41" s="95">
        <f t="shared" si="4"/>
        <v>0.36</v>
      </c>
    </row>
    <row r="42" ht="30.0" customHeight="1">
      <c r="A42" s="91"/>
      <c r="B42" s="91"/>
      <c r="C42" s="91"/>
      <c r="D42" s="92"/>
      <c r="E42" s="92"/>
      <c r="F42" s="92"/>
      <c r="G42" s="95" t="str">
        <f t="shared" ref="G42:K42" si="5">TEXT(AVERAGE(G6:G38),"0.00")&amp;" ± "&amp;TEXT(_xlfn.STDEV.S(G6:G38),"0.00")</f>
        <v>3,52 ± 0,57</v>
      </c>
      <c r="H42" s="95" t="str">
        <f t="shared" si="5"/>
        <v>3,70 ± 0,53</v>
      </c>
      <c r="I42" s="95" t="str">
        <f t="shared" si="5"/>
        <v>4,12 ± 0,78</v>
      </c>
      <c r="J42" s="95" t="str">
        <f t="shared" si="5"/>
        <v>3,94 ± 0,35</v>
      </c>
      <c r="K42" s="95" t="str">
        <f t="shared" si="5"/>
        <v>3,82 ± 0,36</v>
      </c>
    </row>
    <row r="43" ht="30.0" customHeight="1">
      <c r="A43" s="91"/>
      <c r="B43" s="91"/>
      <c r="C43" s="91"/>
      <c r="D43" s="92"/>
      <c r="E43" s="92"/>
      <c r="F43" s="92"/>
      <c r="G43" s="95"/>
      <c r="H43" s="99"/>
      <c r="I43" s="95"/>
      <c r="J43" s="99"/>
      <c r="K43" s="95"/>
    </row>
    <row r="44" ht="33.0" customHeight="1">
      <c r="A44" s="91"/>
      <c r="B44" s="91"/>
      <c r="C44" s="91"/>
      <c r="D44" s="92"/>
      <c r="E44" s="92"/>
      <c r="F44" s="92"/>
      <c r="G44" s="95"/>
      <c r="H44" s="99"/>
      <c r="I44" s="95"/>
      <c r="J44" s="99"/>
      <c r="K44" s="95"/>
    </row>
    <row r="45" ht="30.75" customHeight="1">
      <c r="A45" s="91"/>
      <c r="B45" s="91"/>
      <c r="C45" s="91"/>
      <c r="D45" s="92"/>
      <c r="E45" s="92"/>
      <c r="F45" s="92"/>
      <c r="G45" s="95"/>
      <c r="H45" s="99"/>
      <c r="I45" s="95"/>
      <c r="J45" s="99"/>
      <c r="K45" s="95"/>
    </row>
    <row r="46" ht="31.5" customHeight="1">
      <c r="A46" s="91"/>
      <c r="B46" s="91"/>
      <c r="C46" s="91"/>
      <c r="D46" s="92"/>
      <c r="E46" s="92"/>
      <c r="F46" s="92"/>
      <c r="G46" s="95"/>
      <c r="H46" s="99"/>
      <c r="I46" s="95"/>
      <c r="J46" s="99"/>
      <c r="K46" s="95"/>
    </row>
    <row r="47" ht="29.25" customHeight="1">
      <c r="A47" s="91"/>
      <c r="B47" s="91"/>
      <c r="C47" s="91"/>
      <c r="D47" s="92"/>
      <c r="E47" s="92"/>
      <c r="F47" s="92"/>
      <c r="G47" s="95"/>
      <c r="H47" s="99"/>
      <c r="I47" s="95"/>
      <c r="J47" s="99"/>
      <c r="K47" s="95"/>
    </row>
    <row r="48" ht="151.5" customHeight="1">
      <c r="A48" s="91"/>
      <c r="B48" s="91"/>
      <c r="C48" s="91"/>
      <c r="D48" s="92"/>
      <c r="E48" s="92"/>
      <c r="F48" s="92"/>
      <c r="G48" s="95"/>
      <c r="H48" s="99"/>
      <c r="I48" s="95"/>
      <c r="J48" s="99"/>
      <c r="K48" s="95"/>
    </row>
    <row r="49" ht="146.25" customHeight="1">
      <c r="A49" s="91"/>
      <c r="B49" s="91"/>
      <c r="C49" s="91"/>
      <c r="D49" s="92"/>
      <c r="E49" s="92"/>
      <c r="F49" s="92"/>
      <c r="G49" s="95"/>
      <c r="H49" s="99"/>
      <c r="I49" s="95"/>
      <c r="J49" s="99"/>
      <c r="K49" s="95"/>
    </row>
    <row r="50" ht="148.5" customHeight="1">
      <c r="A50" s="91"/>
      <c r="B50" s="91"/>
      <c r="C50" s="91"/>
      <c r="D50" s="92"/>
      <c r="E50" s="92"/>
      <c r="F50" s="92"/>
      <c r="G50" s="95"/>
      <c r="H50" s="99"/>
      <c r="I50" s="95"/>
      <c r="J50" s="99"/>
      <c r="K50" s="95"/>
    </row>
    <row r="51" ht="188.25" customHeight="1">
      <c r="A51" s="91"/>
      <c r="B51" s="91"/>
      <c r="C51" s="104"/>
      <c r="D51" s="92"/>
      <c r="E51" s="92"/>
      <c r="F51" s="92"/>
      <c r="G51" s="95"/>
      <c r="H51" s="99"/>
      <c r="I51" s="95"/>
      <c r="J51" s="99"/>
      <c r="K51" s="95"/>
    </row>
    <row r="52" ht="127.5" customHeight="1">
      <c r="A52" s="91"/>
      <c r="B52" s="91"/>
      <c r="C52" s="91"/>
      <c r="D52" s="92"/>
      <c r="E52" s="92"/>
      <c r="F52" s="92"/>
      <c r="G52" s="95"/>
      <c r="H52" s="99"/>
      <c r="I52" s="95"/>
      <c r="J52" s="99"/>
      <c r="K52" s="95"/>
    </row>
    <row r="53" ht="186.75" customHeight="1">
      <c r="A53" s="91"/>
      <c r="B53" s="91"/>
      <c r="C53" s="91"/>
      <c r="D53" s="92"/>
      <c r="E53" s="92"/>
      <c r="F53" s="92"/>
      <c r="G53" s="95"/>
      <c r="H53" s="99"/>
      <c r="I53" s="95"/>
      <c r="J53" s="99"/>
      <c r="K53" s="95"/>
    </row>
    <row r="54" ht="144.0" customHeight="1">
      <c r="A54" s="91"/>
      <c r="B54" s="91"/>
      <c r="C54" s="91"/>
      <c r="D54" s="92"/>
      <c r="E54" s="92"/>
      <c r="F54" s="92"/>
      <c r="G54" s="95"/>
      <c r="H54" s="99"/>
      <c r="I54" s="95"/>
      <c r="J54" s="99"/>
      <c r="K54" s="95"/>
    </row>
    <row r="55" ht="151.5" customHeight="1">
      <c r="A55" s="91"/>
      <c r="B55" s="91"/>
      <c r="C55" s="91"/>
      <c r="D55" s="92"/>
      <c r="E55" s="92"/>
      <c r="F55" s="92"/>
      <c r="G55" s="95"/>
      <c r="H55" s="99"/>
      <c r="I55" s="95"/>
      <c r="J55" s="99"/>
      <c r="K55" s="95"/>
    </row>
    <row r="56" ht="147.75" customHeight="1">
      <c r="A56" s="91"/>
      <c r="B56" s="91"/>
      <c r="C56" s="91"/>
      <c r="D56" s="92"/>
      <c r="E56" s="92"/>
      <c r="F56" s="92"/>
      <c r="G56" s="95"/>
      <c r="H56" s="99"/>
      <c r="I56" s="95"/>
      <c r="J56" s="99"/>
      <c r="K56" s="95"/>
    </row>
    <row r="57" ht="140.25" customHeight="1">
      <c r="A57" s="91"/>
      <c r="B57" s="91"/>
      <c r="C57" s="91"/>
      <c r="D57" s="92"/>
      <c r="E57" s="92"/>
      <c r="F57" s="92"/>
      <c r="G57" s="95"/>
      <c r="H57" s="99"/>
      <c r="I57" s="95"/>
      <c r="J57" s="99"/>
      <c r="K57" s="95"/>
    </row>
    <row r="58" ht="151.5" customHeight="1">
      <c r="A58" s="91"/>
      <c r="B58" s="91"/>
      <c r="C58" s="91"/>
      <c r="D58" s="92"/>
      <c r="E58" s="92"/>
      <c r="F58" s="92"/>
      <c r="G58" s="95"/>
      <c r="H58" s="99"/>
      <c r="I58" s="95"/>
      <c r="J58" s="99"/>
      <c r="K58" s="95"/>
    </row>
    <row r="59" ht="159.75" customHeight="1">
      <c r="A59" s="91"/>
      <c r="B59" s="91"/>
      <c r="C59" s="91"/>
      <c r="D59" s="92"/>
      <c r="E59" s="92"/>
      <c r="F59" s="92"/>
      <c r="G59" s="95"/>
      <c r="H59" s="99"/>
      <c r="I59" s="95"/>
      <c r="J59" s="99"/>
      <c r="K59" s="95"/>
    </row>
    <row r="60" ht="147.75" customHeight="1">
      <c r="A60" s="91"/>
      <c r="B60" s="91"/>
      <c r="C60" s="91"/>
      <c r="D60" s="92"/>
      <c r="E60" s="92"/>
      <c r="F60" s="92"/>
      <c r="G60" s="95"/>
      <c r="H60" s="99"/>
      <c r="I60" s="95"/>
      <c r="J60" s="99"/>
      <c r="K60" s="95"/>
    </row>
    <row r="61" ht="193.5" customHeight="1">
      <c r="A61" s="91"/>
      <c r="B61" s="91"/>
      <c r="C61" s="91"/>
      <c r="D61" s="92"/>
      <c r="E61" s="92"/>
      <c r="F61" s="92"/>
      <c r="G61" s="95"/>
      <c r="H61" s="99"/>
      <c r="I61" s="95"/>
      <c r="J61" s="99"/>
      <c r="K61" s="95"/>
    </row>
    <row r="62" ht="170.25" customHeight="1">
      <c r="A62" s="91"/>
      <c r="B62" s="91"/>
      <c r="C62" s="91"/>
      <c r="D62" s="92"/>
      <c r="E62" s="92"/>
      <c r="F62" s="92"/>
      <c r="G62" s="95"/>
      <c r="H62" s="99"/>
      <c r="I62" s="95"/>
      <c r="J62" s="99"/>
      <c r="K62" s="95"/>
    </row>
    <row r="63" ht="178.5" customHeight="1">
      <c r="A63" s="91"/>
      <c r="B63" s="91"/>
      <c r="C63" s="91"/>
      <c r="D63" s="92"/>
      <c r="E63" s="92"/>
      <c r="F63" s="92"/>
      <c r="G63" s="95"/>
      <c r="H63" s="99"/>
      <c r="I63" s="95"/>
      <c r="J63" s="99"/>
      <c r="K63" s="95"/>
    </row>
    <row r="64" ht="188.25" customHeight="1">
      <c r="A64" s="91"/>
      <c r="B64" s="91"/>
      <c r="C64" s="91"/>
      <c r="D64" s="92"/>
      <c r="E64" s="92"/>
      <c r="F64" s="92"/>
      <c r="G64" s="95"/>
      <c r="H64" s="99"/>
      <c r="I64" s="95"/>
      <c r="J64" s="99"/>
      <c r="K64" s="95"/>
    </row>
    <row r="65" ht="146.25" customHeight="1">
      <c r="A65" s="91"/>
      <c r="B65" s="91"/>
      <c r="C65" s="91"/>
      <c r="D65" s="92"/>
      <c r="E65" s="92"/>
      <c r="F65" s="92"/>
      <c r="G65" s="95"/>
      <c r="H65" s="99"/>
      <c r="I65" s="95"/>
      <c r="J65" s="99"/>
      <c r="K65" s="95"/>
    </row>
    <row r="66" ht="157.5" customHeight="1">
      <c r="A66" s="91"/>
      <c r="B66" s="91"/>
      <c r="C66" s="91"/>
      <c r="D66" s="92"/>
      <c r="E66" s="92"/>
      <c r="F66" s="92"/>
      <c r="G66" s="95"/>
      <c r="H66" s="99"/>
      <c r="I66" s="95"/>
      <c r="J66" s="99"/>
      <c r="K66" s="95"/>
    </row>
    <row r="67" ht="169.5" customHeight="1">
      <c r="A67" s="91"/>
      <c r="B67" s="91"/>
      <c r="C67" s="91"/>
      <c r="D67" s="92"/>
      <c r="E67" s="92"/>
      <c r="F67" s="92"/>
      <c r="G67" s="95"/>
      <c r="H67" s="99"/>
      <c r="I67" s="95"/>
      <c r="J67" s="99"/>
      <c r="K67" s="95"/>
    </row>
    <row r="68" ht="174.0" customHeight="1">
      <c r="A68" s="91"/>
      <c r="B68" s="91"/>
      <c r="C68" s="91"/>
      <c r="D68" s="92"/>
      <c r="E68" s="92"/>
      <c r="F68" s="92"/>
      <c r="G68" s="95"/>
      <c r="H68" s="99"/>
      <c r="I68" s="95"/>
      <c r="J68" s="99"/>
      <c r="K68" s="95"/>
    </row>
    <row r="69" ht="144.75" customHeight="1">
      <c r="A69" s="91"/>
      <c r="B69" s="91"/>
      <c r="C69" s="91"/>
      <c r="D69" s="92"/>
      <c r="E69" s="92"/>
      <c r="F69" s="92"/>
      <c r="G69" s="95"/>
      <c r="H69" s="99"/>
      <c r="I69" s="95"/>
      <c r="J69" s="99"/>
      <c r="K69" s="95"/>
    </row>
    <row r="70" ht="33.75" customHeight="1">
      <c r="A70" s="91"/>
      <c r="B70" s="103"/>
      <c r="C70" s="104"/>
      <c r="D70" s="92"/>
      <c r="E70" s="92"/>
      <c r="F70" s="92"/>
      <c r="G70" s="95"/>
      <c r="H70" s="99"/>
      <c r="I70" s="95"/>
      <c r="J70" s="99"/>
      <c r="K70" s="95"/>
    </row>
    <row r="71" ht="31.5" customHeight="1">
      <c r="A71" s="91"/>
      <c r="B71" s="103"/>
      <c r="C71" s="104"/>
      <c r="D71" s="92"/>
      <c r="E71" s="92"/>
      <c r="F71" s="92"/>
      <c r="G71" s="95"/>
      <c r="H71" s="99"/>
      <c r="I71" s="95"/>
      <c r="J71" s="99"/>
      <c r="K71" s="95"/>
    </row>
    <row r="72" ht="35.25" customHeight="1">
      <c r="A72" s="91"/>
      <c r="B72" s="103"/>
      <c r="C72" s="104"/>
      <c r="D72" s="92"/>
      <c r="E72" s="92"/>
      <c r="F72" s="92"/>
      <c r="G72" s="95"/>
      <c r="H72" s="99"/>
      <c r="I72" s="95"/>
      <c r="J72" s="99"/>
      <c r="K72" s="95"/>
    </row>
    <row r="73" ht="146.25" customHeight="1">
      <c r="A73" s="91"/>
      <c r="B73" s="103"/>
      <c r="C73" s="104"/>
      <c r="D73" s="92"/>
      <c r="E73" s="92"/>
      <c r="F73" s="92"/>
      <c r="G73" s="95"/>
      <c r="H73" s="99"/>
      <c r="I73" s="95"/>
      <c r="J73" s="99"/>
      <c r="K73" s="95"/>
    </row>
    <row r="74" ht="161.25" customHeight="1">
      <c r="A74" s="91"/>
      <c r="B74" s="103"/>
      <c r="C74" s="104"/>
      <c r="D74" s="92"/>
      <c r="E74" s="92"/>
      <c r="F74" s="92"/>
      <c r="G74" s="95"/>
      <c r="H74" s="99"/>
      <c r="I74" s="95"/>
      <c r="J74" s="99"/>
      <c r="K74" s="95"/>
    </row>
    <row r="75" ht="102.75" customHeight="1">
      <c r="A75" s="91"/>
      <c r="B75" s="103"/>
      <c r="C75" s="104"/>
      <c r="D75" s="92"/>
      <c r="E75" s="92"/>
      <c r="F75" s="92"/>
      <c r="G75" s="95"/>
      <c r="H75" s="99"/>
      <c r="I75" s="95"/>
      <c r="J75" s="99"/>
      <c r="K75" s="95"/>
    </row>
    <row r="76" ht="154.5" customHeight="1">
      <c r="A76" s="91"/>
      <c r="B76" s="103"/>
      <c r="C76" s="104"/>
      <c r="D76" s="92"/>
      <c r="E76" s="92"/>
      <c r="F76" s="92"/>
      <c r="G76" s="95"/>
      <c r="H76" s="99"/>
      <c r="I76" s="95"/>
      <c r="J76" s="99"/>
      <c r="K76" s="95"/>
    </row>
    <row r="77" ht="150.0" customHeight="1">
      <c r="A77" s="91"/>
      <c r="B77" s="103"/>
      <c r="C77" s="104"/>
      <c r="D77" s="92"/>
      <c r="E77" s="92"/>
      <c r="F77" s="92"/>
      <c r="G77" s="95"/>
      <c r="H77" s="99"/>
      <c r="I77" s="95"/>
      <c r="J77" s="99"/>
      <c r="K77" s="95"/>
    </row>
    <row r="78" ht="90.0" customHeight="1">
      <c r="A78" s="91"/>
      <c r="B78" s="91"/>
      <c r="C78" s="91"/>
      <c r="D78" s="92"/>
      <c r="E78" s="92"/>
      <c r="F78" s="92"/>
      <c r="G78" s="118"/>
      <c r="H78" s="92"/>
    </row>
    <row r="79" ht="90.0" customHeight="1"/>
    <row r="80" ht="90.0" customHeight="1"/>
    <row r="81" ht="90.0" customHeight="1"/>
    <row r="82" ht="90.0" customHeight="1"/>
    <row r="83" ht="90.0"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