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Penilaian" sheetId="1" r:id="rId5"/>
    <sheet state="visible" name="Zero-Shot" sheetId="2" r:id="rId6"/>
    <sheet state="visible" name="Copy of Zero-Shot 1" sheetId="3" r:id="rId7"/>
    <sheet state="visible" name="Copy of Zero-Shot" sheetId="4" r:id="rId8"/>
    <sheet state="visible" name="Role-Based" sheetId="5" r:id="rId9"/>
    <sheet state="visible" name="CoT" sheetId="6" r:id="rId10"/>
  </sheets>
  <definedNames/>
  <calcPr/>
</workbook>
</file>

<file path=xl/sharedStrings.xml><?xml version="1.0" encoding="utf-8"?>
<sst xmlns="http://schemas.openxmlformats.org/spreadsheetml/2006/main" count="837" uniqueCount="365">
  <si>
    <t>PANDUAN PENILAIAN KUALITAS REKOMENDASI LLM — AHLI PERTANIAN</t>
  </si>
  <si>
    <t>Analisis Perbandingan Teknik Prompting LLM untuk Sistem Konsultasi Smart Greenhouse Bawang Putih Tunggal Berbasis Data IoT</t>
  </si>
  <si>
    <t>Lembar Penilaian Ahli — Teknik Prompting: Zero-Shot</t>
  </si>
  <si>
    <t>A.  PETUNJUK UMUM</t>
  </si>
  <si>
    <t>1. Baca setiap baris pada sheet Zero-Shot, Role-Based, dan CoT secara seksama.</t>
  </si>
  <si>
    <t>2. Setiap baris berisi: kondisi sensor greenhouse, analisis LLM, dan saran rekomendasi yang dihasilkan model.</t>
  </si>
  <si>
    <t>3. Berikan skor pada kolom 'Skor Ahli (1–5)' untuk setiap output berdasarkan EMPAT kriteria penilaian (lihat bagian B).</t>
  </si>
  <si>
    <t>4. Skor akhir per baris adalah RATA-RATA dari keempat kriteria (atau dapat dinilai secara holistik jika kolom terpisah tidak tersedia).</t>
  </si>
  <si>
    <t>Petunjuk: Baca kondisi greenhouse, analisis sensor, dan saran rekomendasi LLM pada setiap baris. Berikan skor pada kolom Penilaian(skala 1–5) dan tulis catatan jika perlu.</t>
  </si>
  <si>
    <t>5. Baris bertanda 'Data tidak tersedia (STB Offline / API Error)' TIDAK perlu dinilai</t>
  </si>
  <si>
    <t>6. Penilaian dilakukan secara independen dan objektif berdasarkan kesesuaian agronomi bawang putih tunggal.</t>
  </si>
  <si>
    <t>No</t>
  </si>
  <si>
    <t>Tanggal</t>
  </si>
  <si>
    <t>Waktu</t>
  </si>
  <si>
    <t>Kondisi Greenhouse</t>
  </si>
  <si>
    <t>Analisis Sensor (LLM)</t>
  </si>
  <si>
    <t>Saran &amp; Rekomendasi (LLM)</t>
  </si>
  <si>
    <t>Kesesuaian dengan Kondisi Lingkungan</t>
  </si>
  <si>
    <t>Kejelasan Penjelasan
Output</t>
  </si>
  <si>
    <t>Kegunaan Rekomendasi
bagi Petani (Actionability)</t>
  </si>
  <si>
    <t>Ketepatan Tindakan
secara Agronomi</t>
  </si>
  <si>
    <t>Nilai Akhir</t>
  </si>
  <si>
    <t>B.  KONDISI OPTIMAL BAWANG PUTIH TUNGGAL (Referensi untuk Penilaian)</t>
  </si>
  <si>
    <t>Gunakan rentang kondisi berikut sebagai acuan saat menilai ketepatan analisis dan rekomendasi yang dihasilkan oleh LLM.</t>
  </si>
  <si>
    <t>06 Jun 2026</t>
  </si>
  <si>
    <t>06:00</t>
  </si>
  <si>
    <t>Data tidak tersedia (STB Offline / API Error)</t>
  </si>
  <si>
    <t>Parameter</t>
  </si>
  <si>
    <t>-</t>
  </si>
  <si>
    <t>Kondisi Optimal</t>
  </si>
  <si>
    <t>Kondisi Waspada</t>
  </si>
  <si>
    <t>Kondisi Bahaya</t>
  </si>
  <si>
    <t>Satuan</t>
  </si>
  <si>
    <t>Keterangan Tambahan</t>
  </si>
  <si>
    <t>11:15</t>
  </si>
  <si>
    <t>Suhu    : 32.2 °C
Hum     : 45.0 %
Cahaya  : 13160.5 lux
Soil    : 60.0 %</t>
  </si>
  <si>
    <t>Suhu Udara</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</si>
  <si>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t>
  </si>
  <si>
    <t>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</si>
  <si>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18 – 26 °C</t>
  </si>
  <si>
    <t>26 – 30 °C
(mulai stres panas)</t>
  </si>
  <si>
    <t>&gt; 30 °C atau
&lt; 15 °C</t>
  </si>
  <si>
    <t>°C</t>
  </si>
  <si>
    <t>Suhu &gt; 30°C menyebabkan stres panas dan menghambat pembentukan umbi. Suhu &lt; 15°C memperlambat pertumbuhan.</t>
  </si>
  <si>
    <t>Kelembapan Udara</t>
  </si>
  <si>
    <t>60 – 80 %</t>
  </si>
  <si>
    <t>50 – 60 % atau
80 – 90 %</t>
  </si>
  <si>
    <t>&lt; 50 % atau
&gt; 90 %</t>
  </si>
  <si>
    <t>%</t>
  </si>
  <si>
    <t>Kelembapan &lt; 50% meningkatkan transpirasi berlebih. Kelembapan &gt; 90% meningkatkan risiko jamur dan penyakit busuk.</t>
  </si>
  <si>
    <t>Kelembapan Tanah</t>
  </si>
  <si>
    <t>50 – 70 %</t>
  </si>
  <si>
    <t>40 – 50 % atau
70 – 80 %</t>
  </si>
  <si>
    <t>&lt; 40 % (kering)
atau &gt; 80 %
(busuk akar)</t>
  </si>
  <si>
    <t>Tanah terlalu kering menghambat penyerapan nutrisi. Tanah terlalu basah (&gt; 80%) menyebabkan busuk akar dan menghambat aerasi.</t>
  </si>
  <si>
    <t>C  EMPAT KRITERIA PENILAIAN</t>
  </si>
  <si>
    <t>Kriteria</t>
  </si>
  <si>
    <t>Deskripsi Kriteria</t>
  </si>
  <si>
    <t>Skor 1</t>
  </si>
  <si>
    <t>Skor 2</t>
  </si>
  <si>
    <t>Skor 3</t>
  </si>
  <si>
    <t>Skor 4</t>
  </si>
  <si>
    <t>Skor 5</t>
  </si>
  <si>
    <t>K1</t>
  </si>
  <si>
    <t>Kesesuaian dengan
Kondisi Lingkungan</t>
  </si>
  <si>
    <t>Seberapa tepat output LLM membaca dan
menginterpretasikan data sensor (suhu, kelembapan
udara, cahaya, kelembapan tanah) yang diberikan.
Apakah identifikasi masalah/kondisi sudah benar?</t>
  </si>
  <si>
    <t>Interpretasi kondisi
salah total /
tidak relevan</t>
  </si>
  <si>
    <t>Sebagian besar
interpretasi tidak
tepat</t>
  </si>
  <si>
    <t>Interpretasi cukup
benar tapi ada
kesalahan minor</t>
  </si>
  <si>
    <t>Interpretasi benar
dan sesuai kondisi
sensor</t>
  </si>
  <si>
    <t>12:00</t>
  </si>
  <si>
    <t>Interpretasi sangat
tepat, akurat, dan
kontekstual</t>
  </si>
  <si>
    <t>Suhu    : 31.4 °C
Hum     : 50.0 %
Cahaya  : 13946.5 lux
Soil    : 78.0 %</t>
  </si>
  <si>
    <t>K2</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</si>
  <si>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t>
  </si>
  <si>
    <t>Kejelasan Penjelasan
(Clarity)</t>
  </si>
  <si>
    <t>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</si>
  <si>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Seberapa jelas dan mudah dipahami bahasa yang
digunakan dalam output LLM. Apakah penjelasan
menggunakan istilah yang dapat dimengerti oleh
pengelola greenhouse non-teknis?</t>
  </si>
  <si>
    <t>Penjelasan sangat
kacau / tidak dapat
dipahami</t>
  </si>
  <si>
    <t>Penjelasan membingungkan,
banyak istilah
teknis tanpa penjelasan</t>
  </si>
  <si>
    <t>Cukup jelas namun
perlu sedikit
penjelasan tambahan</t>
  </si>
  <si>
    <t>Jelas dan mudah
dipahami oleh
petani</t>
  </si>
  <si>
    <t>Sangat jelas,
terstruktur, dan
mudah diterapkan</t>
  </si>
  <si>
    <t>K3</t>
  </si>
  <si>
    <t>Seberapa praktis dan dapat langsung diterapkan
rekomendasi yang diberikan oleh LLM. Apakah saran
yang diberikan spesifik, konkret, dan realistis
dilakukan di lapangan?</t>
  </si>
  <si>
    <t>Saran tidak dapat
diterapkan sama
sekali</t>
  </si>
  <si>
    <t>Saran terlalu umum /
tidak spesifik untuk
kondisi ini</t>
  </si>
  <si>
    <t>Saran dapat diterapkan
namun kurang
spesifik</t>
  </si>
  <si>
    <t>Saran spesifik dan
dapat langsung
diterapkan</t>
  </si>
  <si>
    <t>Saran sangat spesifik,
terukur, dan sangat
mudah diterapkan</t>
  </si>
  <si>
    <t>K4</t>
  </si>
  <si>
    <t>Seberapa benar tindakan yang disarankan dari
perspektif ilmu agronomi budidaya bawang putih
tunggal. Apakah rekomendasinya sesuai dengan
standar budidaya yang baik dan benar?</t>
  </si>
  <si>
    <t>Tindakan yang
disarankan salah
atau berbahaya</t>
  </si>
  <si>
    <t>Tindakan sebagian
besar tidak sesuai
kaidah agronomi</t>
  </si>
  <si>
    <t>Tindakan cukup benar
namun ada kekeliruan
minor</t>
  </si>
  <si>
    <t>Tindakan sesuai
kaidah agronomi
bawang putih</t>
  </si>
  <si>
    <t>Tindakan sangat tepat
dan sesuai best
practice agronomi</t>
  </si>
  <si>
    <t>07 Jun 2026</t>
  </si>
  <si>
    <t>Suhu    : 20.0 °C
Hum     : 84.0 %
Cahaya  : 2558.5 lux
Soil    : 72.0 %</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</si>
  <si>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t>
  </si>
  <si>
    <t>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</si>
  <si>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D. CONTOH PENILAIAN (berdasarkan data nyata dari lembar Zero-Shot)</t>
  </si>
  <si>
    <t>Kondisi Sensor</t>
  </si>
  <si>
    <t>Output LLM (ringkasan)</t>
  </si>
  <si>
    <t>Suhu    : 33.4 °C
Hum     : 36.0 %
Cahaya  : 14648.8 lux
Soil    : 73.0 %</t>
  </si>
  <si>
    <t>Skor Akhir</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</si>
  <si>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t>
  </si>
  <si>
    <t>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</si>
  <si>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2</t>
  </si>
  <si>
    <t>Suhu 32.2°C, Hum 45%, Cahaya 13161 lux, Soil 60%</t>
  </si>
  <si>
    <t>[Waspada] Suhu melebihi optimal, hum rendah, cahaya cukup, soil wajar. Saran: kipas, misting, pantau kelembapan.</t>
  </si>
  <si>
    <t>4</t>
  </si>
  <si>
    <t>16:00</t>
  </si>
  <si>
    <t>3</t>
  </si>
  <si>
    <t>Suhu    : 29.5 °C
Hum     : 39.0 %
Cahaya  : 13194.0 lux
Soil    : 73.0 %</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</si>
  <si>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t>
  </si>
  <si>
    <t>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</si>
  <si>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6</t>
  </si>
  <si>
    <t>Suhu 20.0°C, Hum 84%, Cahaya 2559 lux, Soil 72%</t>
  </si>
  <si>
    <t>[Aman] Kondisi cukup optimal. Pantau hum agar &lt;85%, pertahankan penyiraman.</t>
  </si>
  <si>
    <t>5</t>
  </si>
  <si>
    <t>7</t>
  </si>
  <si>
    <t>Suhu 33.4°C, Hum 36%, Cahaya 14649 lux, Soil 73%</t>
  </si>
  <si>
    <t>08 Jun 2026</t>
  </si>
  <si>
    <t>[Bahaya] Suhu tinggi + hum sangat rendah + cahaya ekstrem. Saran: pendingin, humidifier, pantau tanah.</t>
  </si>
  <si>
    <t>Suhu    : 19.3 °C
Hum     : 85.0 %
Cahaya  : 3361.2 lux
Soil    : 71.0 %</t>
  </si>
  <si>
    <t>[Aman] Suhu udara 20.0°C berada dalam kisaran optimal untuk bawang putih tunggal (15-25°C). Kelembapan udara 84% sedikit tinggi namun masih toleran, intensitas cahaya 3327.8 lux cukup baik untuk pertumbuhan, dan kelembapan tanah 72% ideal (60-80%). Tidak ada indikasi bahaya.</t>
  </si>
  <si>
    <t>Saran: Pantau kelembapan udara agar tidak naik di atas 85% untuk mencegah jamur, tingkatkan ventilasi jika perlu., Pertahankan penyiraman sesuai kebutuhan karena kelembapan tanah sudah optimal., Pastikan pencahayaan tetap stabil, hindari naungan berlebihan.</t>
  </si>
  <si>
    <t>Suhu    : 33.6 °C
Hum     : 39.0 %
Cahaya  : 14782.6 lux
Soil    : 70.0 %</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</si>
  <si>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t>
  </si>
  <si>
    <t>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</si>
  <si>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09 Jun 2026</t>
  </si>
  <si>
    <t>14:11</t>
  </si>
  <si>
    <t>Suhu    : 32.5 °C
Hum     : 40.0 %
Cahaya  : 13595.3 lux
Soil    : 68.0 %</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</si>
  <si>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t>
  </si>
  <si>
    <t>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</si>
  <si>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10 Jun 2026</t>
  </si>
  <si>
    <t>Suhu    : 19.1 °C
Hum     : 84.0 %
Cahaya  : 3043.5 lux
Soil    : 64.0 %</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</si>
  <si>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t>
  </si>
  <si>
    <t>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</si>
  <si>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11 Jun 2026</t>
  </si>
  <si>
    <t>Suhu    : 19.2 °C
Hum     : 90.0 %
Cahaya  : 1839.5 lux
Soil    : 64.0 %</t>
  </si>
  <si>
    <t>[Aman] Suhu udara 19.2°C berada dalam kisaran optimal untuk bawang putih tunggal (15-25°C). Kelembapan udara 90% cukup tinggi tetapi masih dapat ditoleransi, meskipun perlu diwaspadai risiko jamur. Intensitas cahaya 1839.5 lux tergolong rendah untuk pertumbuhan optimal (kebutuhan minimal 10.000-20.000 lux), sehingga dapat menghambat fotosintesis. Kelembapan tanah 64% berada dalam rentang ideal (60-70%) untuk pertumbuhan umbi.</t>
  </si>
  <si>
    <t>Saran: Tingkatkan intensitas cahaya dengan menambah lampu LED atau memindahkan tanaman ke area yang lebih terang untuk mencapai minimal 10.000 lux., Kurangi kelembapan udara dengan meningkatkan sirkulasi udara menggunakan kipas atau membuka ventilasi untuk mencegah serangan jamur., Pertahankan kelembapan tanah pada level saat ini dengan penyiraman sesuai kebutuhan, hindari genangan air.</t>
  </si>
  <si>
    <t>10:04</t>
  </si>
  <si>
    <t>Suhu    : 32.9 °C
Hum     : 40.0 %
Cahaya  : 14682.3 lux
Soil    : 64.0 %</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</si>
  <si>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t>
  </si>
  <si>
    <t>Saran: Turunkan suhu dengan mengaktifkan sistem pendingin atau kipas sirkulasi udara, Tingkatkan kelembapan udara dengan mengaktifkan mist maker atau penyemprotan air halus, Kurangi intensitas cahaya dengan menutup sebagian naungan atau menggunakan shading net</t>
  </si>
  <si>
    <t>10:36</t>
  </si>
  <si>
    <t>Suhu    : 35.2 °C
Hum     : 35.0 %
Cahaya  : 2270.2 lux
Soil    : 64.0 %</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</si>
  <si>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t>
  </si>
  <si>
    <t>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</si>
  <si>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12 Jun 2026</t>
  </si>
  <si>
    <t>Suhu    : 20.4 °C
Hum     : 79.0 %
Cahaya  : 0.0 lux
Soil    : 77.0 %</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</si>
  <si>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t>
  </si>
  <si>
    <t>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</si>
  <si>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Suhu    : 32.8 °C
Hum     : 35.0 %
Cahaya  : 1813.4 lux
Soil    : 82.0 %</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</si>
  <si>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t>
  </si>
  <si>
    <t>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</si>
  <si>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Suhu    : 30.1 °C
Hum     : 50.0 %
Cahaya  : 938.3 lux
Soil    : 82.0 %</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</si>
  <si>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t>
  </si>
  <si>
    <t>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</si>
  <si>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13 Jun 2026</t>
  </si>
  <si>
    <t>Suhu    : 26.8 °C
Hum     : 66.0 %
Cahaya  : 829.7 lux
Soil    : 83.0 %</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</si>
  <si>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t>
  </si>
  <si>
    <t>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</si>
  <si>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Suhu    : 26.2 °C
Hum     : 73.0 %
Cahaya  : 334.4 lux
Soil    : 88.0 %</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</si>
  <si>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t>
  </si>
  <si>
    <t>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</si>
  <si>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14 Jun 2026</t>
  </si>
  <si>
    <t>Suhu    : 23.0 °C
Hum     : 80.0 %
Cahaya  : 0.0 lux
Soil    : 85.0 %</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</si>
  <si>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t>
  </si>
  <si>
    <t>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</si>
  <si>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Suhu    : 29.6 °C
Hum     : 55.0 %
Cahaya  : 911.0 lux
Soil    : 88.0 %</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</si>
  <si>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t>
  </si>
  <si>
    <t>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</si>
  <si>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15 Jun 2026</t>
  </si>
  <si>
    <t>Suhu    : 21.3 °C
Hum     : 88.0 %
Cahaya  : 23.1 lux
Soil    : 88.0 %</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</si>
  <si>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t>
  </si>
  <si>
    <t>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</si>
  <si>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18 Jun 2026</t>
  </si>
  <si>
    <t>Suhu    : 23.0 °C
Hum     : 71.0 %
Cahaya  : 0.0 lux
Soil    : 88.0 %</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</si>
  <si>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t>
  </si>
  <si>
    <t>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</si>
  <si>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19 Jun 2026</t>
  </si>
  <si>
    <t>Suhu    : 33.4 °C
Hum     : 35.0 %
Cahaya  : 2219.4 lux
Soil    : 88.0 %</t>
  </si>
  <si>
    <t>[Waspada] Suhu udara 33.4°C melebihi batas optimal bawang putih tunggal (20-30°C), kelembapan udara 35% sangat rendah (ideal 60-70%), intensitas cahaya 2219.4 lux menunjukkan kondisi terik, dan kelembapan tanah 88% terlalu tinggi (ideal 50-70%) yang dapat menyebabkan busuk akar.</t>
  </si>
  <si>
    <t>Saran: Turunkan suhu dengan mengaktifkan kipas atau pendingin evaporatif, serta beri naungan jika perlu., Tingkatkan kelembapan udara dengan mengaktifkan mist maker atau penyemprotan air halus di sekitar tanaman., Kurangi frekuensi penyiraman karena kelembapan tanah sudah sangat tinggi; pastikan drainase baik untuk mencegah genangan.</t>
  </si>
  <si>
    <t>20 Jun 2026</t>
  </si>
  <si>
    <t>Suhu    : 20.6 °C
Hum     : 89.0 %
Cahaya  : 12.6 lux
Soil    : 88.0 %</t>
  </si>
  <si>
    <t>[Bahaya] Kondisi saat ini menunjukkan kelembaban udara (89%) dan kelembaban tanah (88%) sangat tinggi, meningkatkan risiko serangan jamur dan busuk akar pada bawang putih tunggal. Intensitas cahaya sangat rendah (12.6 lux) mengindikasikan kondisi gelap yang tidak ideal untuk pertumbuhan optimal. Suhu udara (20.6°C) masih dalam kisaran yang sesuai.</t>
  </si>
  <si>
    <t>Saran: Kurangi frekuensi penyiraman hingga kelembaban tanah turun ke kisaran 60-70% untuk mencegah busuk akar., Tingkatkan sirkulasi udara dengan membuka ventilasi atau menggunakan kipas untuk menurunkan kelembaban udara., Tambahkan pencahayaan buatan (misal lampu LED tumbuh) dengan intensitas minimal 3000 lux selama 12 jam per hari untuk mendukung fotosintesis.</t>
  </si>
  <si>
    <t>21 Jun 2026</t>
  </si>
  <si>
    <t>Suhu    : 22.6 °C
Hum     : 84.0 %
Cahaya  : 3.0 lux
Soil    : 88.0 %</t>
  </si>
  <si>
    <t>[Aman] Suhu udara 22.6°C berada dalam kisaran optimal untuk bawang putih tunggal (18-25°C). Kelembapan udara 84% cukup tinggi namun masih toleran, meskipun perlu diwaspadai risiko jamur. Intensitas cahaya 3.0 lux menunjukkan kondisi sangat gelap (mendung atau malam hari), sehingga tidak memerlukan naungan tambahan. Kelembapan tanah 88% tergolong sangat basah, mendekati jenuh, yang dapat menyebabkan busuk akar jika berlangsung lama.</t>
  </si>
  <si>
    <t>Saran: Kurangi frekuensi penyiraman hingga kelembapan tanah turun ke kisaran 60-70% untuk mencegah busuk akar., Tingkatkan sirkulasi udara dengan membuka ventilasi atau menggunakan kipas untuk menurunkan kelembapan udara dan mengurangi risiko penyakit jamur., Pantau intensitas cahaya saat siang hari; jika tetap rendah (&lt;300 lux), pertimbangkan penggunaan lampu tambahan untuk mendukung fotosintesis.</t>
  </si>
  <si>
    <t>Suhu    : 32.5 °C
Hum     : 44.0 %
Cahaya  : 1969.2 lux
Soil    : 88.0 %</t>
  </si>
  <si>
    <t>[Waspada] Suhu udara 32.5°C melebihi kisaran optimal bawang putih (20-25°C), dapat menyebabkan stres panas. Kelembapan udara 44% terlalu rendah, meningkatkan risiko penguapan berlebih. Kelembapan tanah 88% sangat tinggi, mendekati jenuh, berpotensi menyebabkan busuk akar. Intensitas cahaya 1969.2 lux (terang) mendukung fotosintesis, namun kombinasi suhu panas dan tanah basah perlu diwaspadai.</t>
  </si>
  <si>
    <t>Saran: Kurangi frekuensi penyiraman hingga kelembapan tanah turun ke kisaran 60-70% untuk mencegah busuk akar., Berikan naungan atau semprotkan air di sekitar area tanam untuk menurunkan suhu udara, misalnya dengan paranet 50% atau fogging., Tingkatkan sirkulasi udara dengan membuka ventilasi greenhouse atau menggunakan kipas untuk mengurangi kelembapan udara dan stres panas.</t>
  </si>
  <si>
    <t>Suhu    : 27.7 °C
Hum     : 63.0 %
Cahaya  : 713.5 lux
Soil    : 88.0 %</t>
  </si>
  <si>
    <t>[Aman] Suhu udara 27.7°C masih dalam rentang optimal untuk bawang putih tunggal (20-30°C). Kelembapan udara 63% cukup baik, sedikit di bawah ideal (70-80%) namun masih toleran. Intensitas cahaya 713.5 lux menunjukkan kondisi cerah namun tidak terlalu terik, cocok untuk pertumbuhan. Kelembapan tanah 88% tergolong tinggi, mendekati batas jenuh yang dapat menyebabkan busuk akar jika berlangsung lama.</t>
  </si>
  <si>
    <t>Saran: Kurangi frekuensi penyiraman karena kelembapan tanah sudah sangat tinggi, biarkan tanah mengering hingga 60-70% sebelum menyiram kembali., Tingkatkan sirkulasi udara dengan membuka ventilasi atau menyalakan kipas untuk menurunkan kelembapan udara dan mencegah jamur., Pantau intensitas cahaya; jika turun di bawah 500 lux dalam waktu lama, pertimbangkan penambahan lampu tambahan untuk menjaga fotosintesis.</t>
  </si>
  <si>
    <t>22 Jun 2026</t>
  </si>
  <si>
    <t>Suhu    : 23.4 °C
Hum     : 84.0 %
Cahaya  : 0.0 lux
Soil    : 88.0 %</t>
  </si>
  <si>
    <t>[Waspada] Suhu udara 23.4°C berada dalam kisaran optimal untuk bawang putih tunggal (15-25°C). Namun, kelembapan udara 84% tergolong tinggi dan dapat meningkatkan risiko serangan jamur atau penyakit. Intensitas cahaya 0.0 lux menunjukkan kondisi gelap (mungkin malam atau cuaca sangat mendung), sehingga tanaman tidak mendapatkan cahaya untuk fotosintesis. Kelembapan tanah 88% sangat tinggi, mendekati jenuh, yang dapat menyebabkan busuk akar akibat aerasi tanah yang buruk.</t>
  </si>
  <si>
    <t>Saran: Jangan lakukan penyiraman sampai kelembapan tanah turun di bawah 70% untuk mencegah busuk akar., Aktifkan sirkulasi udara (kipas) atau buka ventilasi untuk menurunkan kelembapan udara dan mengurangi risiko jamur., Jika kondisi gelap berlangsung lebih dari 12 jam, pertimbangkan menyalakan lampu tambahan (misal LED grow light) untuk memenuhi kebutuhan fotosintesis harian.</t>
  </si>
  <si>
    <t>Suhu    : 32.8 °C
Hum     : 44.0 %
Cahaya  : 1691.9 lux
Soil    : 73.0 %</t>
  </si>
  <si>
    <t>[Waspada] Suhu udara 32.8°C melebihi batas optimal bawang putih (20-30°C), kelembapan udara 44% terlalu rendah (ideal 60-70%), intensitas cahaya 1691.9 lux tergolong terik yang dapat menyebabkan stres panas, namun kelembapan tanah 73% masih cukup baik. Kombinasi suhu tinggi dan kelembapan udara rendah meningkatkan risiko penguapan berlebih dan stres pada tanaman.</t>
  </si>
  <si>
    <t>Saran: Turunkan suhu dengan mengaktifkan sistem pendingin atau meningkatkan sirkulasi udara (kipas) secara bertahap, Tingkatkan kelembapan udara dengan mengaktifkan mist maker atau penyemprotan air halus di sekitar tanaman, Berikan naungan sementara (shading net) jika intensitas cahaya terlalu terik untuk mengurangi stres panas</t>
  </si>
  <si>
    <t>Suhu    : 27.4 °C
Hum     : 62.0 %
Cahaya  : 469.6 lux
Soil    : 69.0 %</t>
  </si>
  <si>
    <t>[Aman] Suhu udara 27.4°C masih dalam rentang optimal untuk bawang putih tunggal (20-30°C). Kelembapan udara 62% cukup baik, sedikit di bawah ideal (65-70%) namun masih aman. Intensitas cahaya 469.6 lux menunjukkan kondisi cerah namun tidak terik, cocok untuk pertumbuhan. Kelembapan tanah 69% berada dalam kisaran ideal (60-80%), menandakan ketersediaan air yang cukup.</t>
  </si>
  <si>
    <t>Saran: Pantau kelembapan udara; jika turun di bawah 60%, pertimbangkan untuk meningkatkan kelembapan dengan penyemprotan kabut atau pelembap udara., Pastikan sirkulasi udara tetap baik untuk mencegah kelembapan berlebih yang dapat memicu jamur., Lakukan penyiraman jika kelembapan tanah turun di bawah 60%, namun saat ini belum diperlukan.</t>
  </si>
  <si>
    <t>23 Jun 2026</t>
  </si>
  <si>
    <t>Suhu    : 23.1 °C
Hum     : 85.0 %
Cahaya  : 0.0 lux
Soil    : 65.0 %</t>
  </si>
  <si>
    <t>[Waspada] Suhu udara 23.1°C masih dalam rentang ideal (18-28°C) untuk bawang putih tunggal. Kelembapan udara 85% cukup tinggi, mendekati batas atas yang ideal (60-80%), sehingga berisiko memicu pertumbuhan jamur. Intensitas cahaya 0.0 lux menunjukkan kondisi sangat gelap (malam atau ruang tertutup), yang tidak optimal karena bawang putih membutuhkan minimal 300-500 lux untuk fotosintesis. Kelembapan tanah 65% berada dalam kisaran baik (50-70%), namun perlu dipantau agar tidak terlalu basah.</t>
  </si>
  <si>
    <t>Saran: Turunkan kelembapan udara dengan meningkatkan sirkulasi atau menggunakan dehumidifier jika kelembapan terus tinggi, Tambahkan pencahayaan buatan (lampu LED/ grow light) untuk memenuhi kebutuhan minimal 300-500 lux selama 12-14 jam per hari, Periksa drainase tanah dan kurangi frekuensi penyiraman jika kelembapan tanah cenderung naik, hindari genangan air</t>
  </si>
  <si>
    <t>Suhu    : 34.4 °C
Hum     : 40 %
Cahaya  : 1969.2 lux
Soil    :  62%</t>
  </si>
  <si>
    <t xml:space="preserve">[Waspada]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t>
  </si>
  <si>
    <t>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</si>
  <si>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Suhu    : 29.0 °C
Hum     : 56.0 %
Cahaya  : 773.9 lux
Soil    : 63.0 %</t>
  </si>
  <si>
    <t xml:space="preserve">[Aman]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t>
  </si>
  <si>
    <t>Saran: Pertahankan penyiraman sesuai jadwal karena kelembapan tanah masih baik., Pantau suhu udara agar tidak naik di atas 30°C, jika perlu aktifkan sirkulasi atau naungan., Tidak perlu penambahan cahaya buatan karena intensitas saat ini cukup untuk fotosintesis.</t>
  </si>
  <si>
    <t>Suhu    : 29.0 °C
Hum     : 58.0 %
Cahaya  : 1368.5 lux
Soil    : 59.0 %</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</si>
  <si>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t>
  </si>
  <si>
    <t>Saran: Lakukan penyiraman ringan untuk meningkatkan kelembapan tanah hingga 70-80%., Pantau suhu agar tidak naik di atas 30°C, jika perlu aktifkan sirkulasi udara atau naungan., Periksa kelembapan udara; jika turun di bawah 50%, semprot kabut air di sekitar tanaman.</t>
  </si>
  <si>
    <t>JUMLAH</t>
  </si>
  <si>
    <t>RATA-RATA</t>
  </si>
  <si>
    <t>STDEV</t>
  </si>
  <si>
    <t xml:space="preserve"> mean±SD</t>
  </si>
  <si>
    <t>Lembar Penilaian Ahli — Teknik Prompting: Role-Based</t>
  </si>
  <si>
    <t>Petunjuk: Baca kondisi greenhouse, analisis sensor, dan saran rekomendasi LLM pada setiap baris. Berikan skor pada kolom penilaian (skala 1–5) dan tulis catatan jika perlu.</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</si>
  <si>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t>
  </si>
  <si>
    <t>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</si>
  <si>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t>
  </si>
  <si>
    <t>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</si>
  <si>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t>
  </si>
  <si>
    <t>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</si>
  <si>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Lembar Penilaian Ahli — Teknik Prompting: Chain-of-Thought (CoT)</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</si>
  <si>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t>
  </si>
  <si>
    <t>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</si>
  <si>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t>
  </si>
  <si>
    <t>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</si>
  <si>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Petunjuk: Baca kondisi greenhouse, analisis sensor, dan saran rekomendasi LLM pada setiap baris. Berikan skor pada kolom Penilaian (skala 1–5) dan tulis catatan jika perlu.</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</si>
  <si>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t>
  </si>
  <si>
    <t>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</si>
  <si>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t>
  </si>
  <si>
    <t>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</si>
  <si>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t>
  </si>
  <si>
    <t>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</si>
  <si>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t>
  </si>
  <si>
    <t>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</si>
  <si>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[Waspada] Suhu udara 19.2°C masih dalam rentang optimal (18-26°C). Kelembapan udara 90% melebihi batas optimal (60-80%), meningkatkan risiko serangan jamur dan penyakit pada bawang putih tunggal. Intensitas cahaya 1839.5 lux sangat tinggi di atas rentang optimal (400-800 lux), dapat menyebabkan stres pada tanaman, daun terbakar, dan penurunan kualitas umbi. Kelembapan tanah 64% masih dalam rentang yang baik (50-70%). Kondisi secara keseluruhan memerlukan penanganan segera untuk mengurangi kelembapan udara dan intensitas cahaya.</t>
  </si>
  <si>
    <t>Saran: Aktifkan exhaust fan atau ventilasi untuk menurunkan kelembapan udara hingga 60-80%., Pasang jaring peneduh atau atur penutup greenhouse untuk mengurangi intensitas cahaya hingga maksimal 800 lux., Pantau kelembapan tanah secara berkala agar tetap di kisaran optimal dan hindari penyiraman berlebih karena udara lembap.</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</si>
  <si>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t>
  </si>
  <si>
    <t>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</si>
  <si>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t>
  </si>
  <si>
    <t>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</si>
  <si>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[Bahaya] Suhu udara 32.2°C berada di atas rentang optimal (18–26°C) dan masuk kategori berbahaya. Kelembapan udara 45% di bawah rentang optimal (60–80%). Intensitas cahaya 13160.5 lux sangat jauh di atas rentang optimal (400–800 lux). Kelembapan tanah 60% berada dalam rentang optimal (50–70%).</t>
  </si>
  <si>
    <t>Saran: Segera turunkan suhu udara dengan mengaktifkan sistem pendingin atau ventilasi, Tingkatkan kelembapan udara dengan mengaktifkan humidifier atau penyemprotan kabut, Kurangi intensitas cahaya dengan menutup sebagian naungan atau menggunakan kain peneduh</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</si>
  <si>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t>
  </si>
  <si>
    <t>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</si>
  <si>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t>
  </si>
  <si>
    <t>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</si>
  <si>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t>
  </si>
  <si>
    <t>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</si>
  <si>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t>
  </si>
  <si>
    <t>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</si>
  <si>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t>
  </si>
  <si>
    <t>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</si>
  <si>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t>
  </si>
  <si>
    <t>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</si>
  <si>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t>
  </si>
  <si>
    <t>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</si>
  <si>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t>
  </si>
  <si>
    <t>Saran: Segera turunkan suhu udara dengan mengaktifkan sistem pendingin atau meningkatkan ventilasi, Tingkatkan kelembapan udara dengan mengaktifkan mist generator atau penyemprotan air, Kurangi intensitas cahaya dengan menutup sebagian naungan atau menggunakan shading net</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</si>
  <si>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t>
  </si>
  <si>
    <t>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</si>
  <si>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</si>
  <si>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t>
  </si>
  <si>
    <t>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</si>
  <si>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</si>
  <si>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t>
  </si>
  <si>
    <t>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</si>
  <si>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[Waspada] Suhu udara 20.0°C optimal (18-26°C). Kelembapan udara 84.0% di atas batas optimal (60-80%). Intensitas cahaya 3327.8 lux jauh di atas rentang optimal (400-800 lux). Kelembapan tanah 72.0% sedikit di atas batas optimal (50-70%).</t>
  </si>
  <si>
    <t>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</si>
  <si>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t>
  </si>
  <si>
    <t>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</si>
  <si>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t>
  </si>
  <si>
    <t>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</si>
  <si>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[Bahaya] Kondisi lingkungan greenhouse saat ini sangat tidak optimal untuk budidaya bawang putih tunggal. Suhu udara mencapai 33.4°C, jauh di atas batas aman 26°C dan sudah melebihi ambang bahaya 30°C, yang dapat menyebabkan stres panas, gangguan fotosintesis, dan penurunan hasil umbi. Kelembapan udara sangat rendah (35%), jauh di bawah rentang optimal 60-80%, sehingga meningkatkan laju transpirasi dan risiko tanaman layu. Kelembapan tanah sangat tinggi (88%), melebihi batas atas 70%, yang berpotensi menyebabkan busuk akar dan penyakit jamur akibat kondisi anaerobik. Intensitas cahaya sangat terik (&gt;1500 lux) yang memperparah kenaikan suhu dan stres pada tanaman.</t>
  </si>
  <si>
    <t>Saran: Segera aktifkan sistem pendingin (kipas, evaporative cooling, atau AC) untuk menurunkan suhu udara ke kisaran 18-26°C., Tingkatkan kelembapan udara dengan mengaktifkan mist generator atau penyemprotan kabut air halus secara berkala hingga kelembapan mencapai 60-80%., Kurangi frekuensi irigasi dan hentikan sementara penyiraman untuk menurunkan kelembapan tanah di bawah 70%, serta perbaiki drainase jika perlu untuk mencegah genangan air.</t>
  </si>
  <si>
    <t>[Waspada] Kondisi greenhouse saat ini: suhu udara 20,6°C dalam rentang optimal (18–26°C). Namun kelembapan udara 89,0% dan kelembapan tanah 88,0% jauh di atas ambang optimal (masing-masing 60–80% dan 50–70%). Kelembapan berlebih ini meningkatkan risiko serangan jamur dan busuk akar pada bawang putih tunggal. Intensitas cahaya 12,6 lux tergolong gelap (malam/remang dalam) sehingga menghambat fotosintesis dan pertumbuhan tanaman.</t>
  </si>
  <si>
    <t>Saran: Segera kurangi kelembapan udara dengan meningkatkan sirkulasi udara, misalnya mengaktifkan kipas exhaust atau membuka ventilasi rumah kaca secara bertahap., Hentikan penyiraman atau kurangi frekuensi penyiraman untuk menurunkan kelembapan tanah di bawah 70% agar tidak terjadi busuk akar., Nyalakan lampu UV atau lampu tanam LED spektrum penuh untuk meningkatkan intensitas cahaya hingga kisaran 400–1500 lux guna mendukung fotosintesis tanaman.</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</si>
  <si>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t>
  </si>
  <si>
    <t>Saran: Segera aktifkan sistem pendingin atau naungan untuk menurunkan suhu udara hingga 18-26°C, Pasang shading net atau atur pencahayaan untuk mengurangi intensitas cahaya hingga 400-800 lux, Tingkatkan kelembapan udara dengan misting atau humidifier hingga mencapai 60-80%</t>
  </si>
  <si>
    <t>[Waspada] Kondisi lingkungan saat ini menunjukkan suhu udara berada dalam rentang optimal (22.6°C), namun kelembapan udara (84%) dan kelembapan tanah (88%) melebihi batas optimal untuk bawang putih tunggal. Kelembapan udara yang tinggi (&gt;80%) dapat meningkatkan risiko penyakit jamur seperti busuk daun atau layu, sementara kelembapan tanah yang sangat tinggi (&gt;80%) berpotensi menyebabkan busuk akar dan menghambat perkembangan umbi. Intensitas cahaya (3.0 lux) tergolong sangat rendah (kondisi gelap/malam), yang tidak mendukung fotosintesis optimal dan dapat memicu pertumbuhan etiolasi jika berlangsung lama. Meskipun suhu masih aman, kombinasi kelembapan tinggi dan cahaya rendah memerlukan perhatian segera.</t>
  </si>
  <si>
    <t>Saran: Segera kurangi frekuensi penyiraman atau hentikan sementara untuk menurunkan kelembapan tanah hingga di bawah 70%, dan pastikan drainase baik., Tingkatkan sirkulasi udara di dalam greenhouse dengan membuka ventilasi atau menggunakan kipas untuk menurunkan kelembapan udara ke kisaran 60-80%., Pertimbangkan penambahan lampu UV atau lampu pertumbuhan (grow light) jika kondisi gelap berlangsung lebih dari 6-8 jam per hari, untuk mendukung fotosintesis dan mencegah etiolasi.</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</si>
  <si>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t>
  </si>
  <si>
    <t>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</si>
  <si>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[Bahaya] Kondisi greenhouse saat ini sangat tidak optimal untuk budidaya bawang putih tunggal. Suhu udara mencapai 32.5°C, jauh di atas batas aman 26°C dan sudah melewati ambang bahaya 30°C, yang dapat menyebabkan stres panas, gangguan fotosintesis, dan penurunan hasil umbi. Kelembapan udara 44% terlalu rendah (optimal 60-80%), meningkatkan laju transpirasi dan risiko dehidrasi. Kelembapan tanah 88% sangat tinggi di atas batas aman 70%, mengindikasikan tanah terlalu basah dan berisiko tinggi menyebabkan busuk akar serta penyakit jamur. Intensitas cahaya 1969.2 lux termasuk kategori sangat terik, yang dapat memperparah kenaikan suhu dan stres pada tanaman.</t>
  </si>
  <si>
    <t>Saran: Segera aktifkan sistem pendingin (kipas, evaporative cooling, atau AC) untuk menurunkan suhu udara hingga kisaran 18-26°C., Kurangi kelembapan tanah dengan menghentikan irigasi dan meningkatkan drainase; jika perlu, lakukan aerasi tanah untuk mengurangi genangan air., Pasang peneduh (shading net) untuk mengurangi intensitas cahaya langsung dan membantu menurunkan suhu, serta tingkatkan kelembapan udara dengan misting atau pelembap udara hingga mencapai 60-80%.</t>
  </si>
  <si>
    <t>[Waspada] Suhu udara 19.2 °C berada dalam rentang optimal (18-26 °C). Kelembapan udara 90.0% melebihi batas optimal (60-80%), masuk kategori waspada karena berisiko memicu penyakit jamur. Intensitas cahaya 1839.5 lux jauh di atas rentang optimal (400-800 lux), berbahaya bagi pertumbuhan bawang putih tunggal. Kelembapan tanah 64.0% berada dalam rentang optimal (50-70%).</t>
  </si>
  <si>
    <t>Saran: Segera kurangi intensitas cahaya dengan menutup greenhouse atau menggunakan shading net untuk menurunkan cahaya ke rentang optimal., Tingkatkan ventilasi atau gunakan dehumidifier untuk menurunkan kelembapan udara hingga 60-80%., Pantau suhu secara berkala karena kelembapan tinggi dan cahaya berlebih dapat memicu fluktuasi suhu.</t>
  </si>
  <si>
    <t>[Waspada] Suhu udara 27.7°C sedikit di atas rentang optimal (18-26°C), mendekati batas berbahaya &gt;30°C. Kelembapan udara 63% masih dalam rentang optimal (60-80%). Intensitas cahaya 713.5 lux termasuk cerah normal (401-1500 lux), aman untuk fotosintesis. Kelembapan tanah 88% sangat tinggi, melebihi batas optimal (50-70%) dan masuk zona risiko busuk akar (&gt;80%). Kondisi ini memerlukan perhatian segera pada pengelolaan kelembapan tanah dan suhu.</t>
  </si>
  <si>
    <t>Saran: Kurangi frekuensi penyiraman atau hentikan sementara hingga kelembapan tanah turun ke kisaran 50-70% untuk mencegah busuk akar, Tingkatkan sirkulasi udara dalam greenhouse dengan membuka ventilasi atau menyalakan kipas untuk membantu menurunkan suhu dan kelembapan tanah, Pantau suhu secara berkala; jika terus naik mendekati 30°C, pertimbangkan penggunaan peneduh atau pendingin evaporatif</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</si>
  <si>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t>
  </si>
  <si>
    <t>Saran: Segera turunkan suhu udara dengan mengaktifkan sistem pendingin atau meningkatkan ventilasi, Kurangi intensitas cahaya dengan memasang naungan atau jaring peneduh, Tingkatkan kelembapan udara dengan menggunakan mist generator atau penyemprotan air secara berkala</t>
  </si>
  <si>
    <t>[Waspada] Kondisi lingkungan saat ini menunjukkan kelembapan udara (84%) dan kelembapan tanah (88%) berada di atas rentang optimal (60-80% dan 50-70%). Kelembapan tanah yang terlalu tinggi meningkatkan risiko busuk akar pada bawang putih tunggal. Suhu udara (23.4°C) masih dalam kisaran ideal. Intensitas cahaya 0 lux menunjukkan saat ini malam hari, sehingga tidak memerlukan penanganan khusus. Namun, akumulasi kelembapan berlebih perlu segera diatasi untuk mencegah perkembangan penyakit jamur.</t>
  </si>
  <si>
    <t>Saran: Hentikan penyiraman sementara hingga kelembapan tanah turun di bawah 70% untuk mengurangi risiko busuk akar., Tingkatkan sirkulasi udara di dalam greenhouse dengan membuka ventilasi atau menyalakan kipas untuk menurunkan kelembapan udara., Periksa drainase media tanam dan pastikan tidak ada genangan air di area perakaran.</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</si>
  <si>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t>
  </si>
  <si>
    <t>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</si>
  <si>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[Bahaya] Suhu udara mencapai 32.8°C, jauh di atas ambang batas optimal (18-26°C) dan sudah memasuki level berbahaya (&gt;30°C) yang dapat menyebabkan stres panas, penurunan fotosintesis, dan gangguan perkembangan umbi. Kelembapan udara 44% sangat rendah dari rentang optimal 60-80%, mengakibatkan transpirasi berlebih dan risiko dehidrasi pada tanaman. Intensitas cahaya 1691.9 lux termasuk 'Sangat Terik' (&gt;1500 lux), meningkatkan suhu lingkungan dan memicu penguapan. Kelembapan tanah 73% sedikit di atas optimal (50-70%), mendekati batas atas, sehingga risiko busuk akar mulai meningkat jika tidak segera dikelola. Kombinasi suhu tinggi, kelembapan udara rendah, dan cahaya terik menempatkan tanaman dalam kondisi stres berat.</t>
  </si>
  <si>
    <t>Saran: Segera aktifkan sistem pendingin (kabut, kipas, atau evaporative cooling) dan buka ventilasi untuk menurunkan suhu udara kembali ke kisaran optimal (18-26°C)., Tingkatkan kelembapan udara dengan mengoperasikan mist generator atau penyemprotan air halus di sekitar tanaman hingga kelembapan mencapai 60-80%., Pasang shading net atau screen untuk mengurangi intensitas cahaya hingga di bawah 1500 lux, guna mencegah pemanasan berlebih dan menurunkan suhu.</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</si>
  <si>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t>
  </si>
  <si>
    <t>[Waspada] Suhu udara saat ini 27.4°C sedikit melampaui batas optimal bawang putih tunggal (18–26°C). Meskipun belum mencapai ambang bahaya (&gt;30°C), suhu yang terus tinggi dapat menghambat pertumbuhan dan memicu stres panas. Kelembapan udara 62% masih dalam kisaran ideal (60–80%), kelembapan tanah 69% berada di atas batas optimal (50–70%) namun masih dalam batas toleransi, namun perlu diwaspadai karena mendekati risiko busuk akar jika terus meningkat. Intensitas cahaya 469.6 lux termasuk kategori cerah normal (401–1500 lux) sehingga aman untuk fotosintesis. Secara keseluruhan, kondisi terkendali namun suhu perlu segera diturunkan untuk mencegah dampak negatif.</t>
  </si>
  <si>
    <t>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</si>
  <si>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Saran: Aktifkan sistem ventilasi atau kipas sirkulasi untuk menurunkan suhu udara greenhouse., Pasang naungan ringan (shading net) jika paparan sinar matahari langsung terlalu tinggi pada siang hari., Kurangi frekuensi penyiraman karena kelembapan tanah sudah mendekati batas atas; pantau agar tidak melebihi 70% untuk mencegah busuk akar.</t>
  </si>
  <si>
    <t>[Waspada] Suhu udara 23,1°C berada dalam rentang optimal (18-26°C). Namun, kelembapan udara mencapai 85%, melebihi batas optimal 60-80%, sehingga meningkatkan risiko serangan jamur dan penyakit seperti botrytis atau embun tepung. Kelembapan tanah 65% masih dalam kisaran aman (50-70%), tidak perlu dikhawatirkan. Intensitas cahaya 0 lux menandakan saat ini malam hari, sehingga tidak diperlukan penanganan pencahayaan. Kondisi ini memerlukan tindakan pencegahan untuk menurunkan kelembapan udara.</t>
  </si>
  <si>
    <t>Saran: Tingkatkan sirkulasi udara dengan membuka ventilasi atau mengaktifkan kipas angin greenhouse untuk mengurangi kelembapan udara., Kurangi frekuensi penyiraman atau atur jadwal irigasi pada pagi hari agar tanah tidak terlalu lembap dan penguapan lebih optimal., Pantau suhu dan kelembapan secara berkala, terutama pada malam hari, untuk mencegah kondensasi yang memicu pertumbuhan patogen.</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</si>
  <si>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t>
  </si>
  <si>
    <t>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</si>
  <si>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[Waspada] Suhu udara 30.1°C berada di atas rentang optimal (18–26°C), masuk kategori waspada. Kelembapan udara 50% di bawah rentang optimal (60–80%). Intensitas cahaya 938.3 lux tergolong normal (siang cerah). Kelembapan tanah 82% di atas rentang optimal (50–70%), menunjukkan tanah terlalu basah.</t>
  </si>
  <si>
    <t>Saran: Turunkan suhu dengan meningkatkan ventilasi atau menggunakan kipas/pendingin, Tingkatkan kelembapan udara dengan pengabutan (mist) atau pelembap, Kurangi frekuensi penyiraman hingga kelembapan tanah turun ke rentang optimal</t>
  </si>
  <si>
    <t xml:space="preserve">[Waspada]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t>
  </si>
  <si>
    <t>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</si>
  <si>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t>
  </si>
  <si>
    <t>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</si>
  <si>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[Waspada] Suhu 26.2°C sedikit di atas rentang optimal (18-26°C), waspada. Kelembapan udara 73% dalam rentang optimal (60-80%). Intensitas cahaya 334.4 lux di bawah 400 lux, tergolong gelap. Kelembapan tanah 88% di atas rentang optimal (50-70%), terlalu basah.</t>
  </si>
  <si>
    <t xml:space="preserve">[Waspada]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t>
  </si>
  <si>
    <t>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</si>
  <si>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</si>
  <si>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t>
  </si>
  <si>
    <t>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</si>
  <si>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t>
  </si>
  <si>
    <t>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</si>
  <si>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t>
  </si>
  <si>
    <t>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</si>
  <si>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t>
  </si>
  <si>
    <t>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</si>
  <si>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t>
  </si>
  <si>
    <t>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</si>
  <si>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[Bahaya] Suhu udara 33.4°C (berbahaya, di atas optimal 18-26°C), kelembapan udara 35% (sangat kering, di bawah optimal 60-80%), intensitas cahaya 2219.4 lux (terik berlebihan, di atas rentang wajar 400-1500 lux), kelembapan tanah 88% (terlalu basah, di atas optimal 50-70%). Seluruh parameter berada di luar kondisi optimal, sehingga tanaman dalam keadaan bahaya.</t>
  </si>
  <si>
    <t>Saran: Segera turunkan suhu dengan memberikan naungan dan meningkatkan ventilasi, Kurangi intensitas cahaya dengan memasang paranet atau shading, Kurangi kelembapan tanah dengan memperbaiki drainase dan menghentikan penyiraman sementara</t>
  </si>
  <si>
    <t>[Bahaya] Suhu udara 20.6°C berada dalam rentang optimal (18–26°C). Kelembapan udara 89.0% melampaui batas optimal (60–80%), meningkatkan risiko penyakit jamur. Intensitas cahaya 12.6 lux sangat rendah (jauh di bawah rentang siang cerah 400–1500 lux), menyebabkan kekurangan cahaya untuk fotosintesis. Kelembapan tanah 88.0% jauh di atas rentang optimal (50–70%), mengancam aerasi akar dan memicu busuk akar.</t>
  </si>
  <si>
    <t>Saran: Segera kurangi penyiraman dan tingkatkan drainase untuk menurunkan kelembapan tanah hingga 50–70%, Tambahkan pencahayaan buatan (lampu LED tanaman) untuk meningkatkan intensitas cahaya minimal ke 400 lux, Aktifkan ventilasi atau gunakan dehumidifier untuk menurunkan kelembapan udara ke kisaran 60–80%</t>
  </si>
  <si>
    <t>[Waspada] Suhu udara 22.6°C berada dalam rentang optimal (18-26°C). Kelembapan udara 84% melebihi batas optimal (60-80%), menunjukkan kondisi terlalu lembap. Intensitas cahaya 3 lux sangat rendah, jauh di bawah rentang siang cerah (400-1500 lux), tergolong gelap. Kelembapan tanah 88% sangat tinggi, melebihi batas optimal (50-70%), mengindikasikan tanah terlalu basah. Secara keseluruhan, kelembapan udara dan tanah yang berlebihan serta pencahayaan yang sangat kurang menjadi perhatian utama.</t>
  </si>
  <si>
    <t>Saran: Segera tingkatkan intensitas cahaya dengan menyalakan lampu tambahan atau membuka penutup greenhouse untuk mencapai minimal 400 lux., Kurangi kelembapan tanah dengan memperbaiki drainase atau mengurangi frekuensi penyiraman hingga kelembapan turun ke rentang 50-70%., Tingkatkan sirkulasi udara untuk menurunkan kelembapan udara, misalnya dengan mengaktifkan kipas atau membuka ventilasi.</t>
  </si>
  <si>
    <t>[Bahaya] Suhu 32.5°C melebihi rentang optimal (18-26°C) sehingga berpotensi menyebabkan stres panas. Kelembapan udara 44% di bawah rentang optimal (60-80%) menyebabkan penguapan tinggi dan risiko dehidrasi. Intensitas cahaya 1969.2 lux di atas estimasi siang cerah (400-1500 lux) mengindikasikan kondisi terik berlebihan yang dapat membakar daun. Kelembapan tanah 88% jauh di atas rentang optimal (50-70%) mengakibatkan genangan dan risiko busuk akar. Seluruh parameter berada di luar ambang batas aman, sehingga status keseluruhan adalah bahaya.</t>
  </si>
  <si>
    <t>Saran: Segera turunkan suhu dengan meningkatkan ventilasi atau mengaktifkan sistem pendingin (misal kipas atau evaporative cooling)., Tingkatkan kelembapan udara menggunakan humidifier atau sistem kabut (fogging) untuk mencapai 60-80%., Kurangi intensitas cahaya dengan memasang naungan (shading net) atau menyesuaikan jadwal pencahayaan buatan., Perbaiki drainase dan kurangi frekuensi penyiraman hingga kelembapan tanah turun ke kisaran 50-70% untuk mencegah busuk akar.</t>
  </si>
  <si>
    <t>[Waspada] Suhu udara (27.7 °C) berada di atas rentang optimal (18–26 °C), masuk kategori waspada. Kelembapan udara (63.0%) berada dalam rentang optimal (60–80%). Intensitas cahaya (713.5 lux) tergolong normal (400-1500 lux). Kelembapan tanah (88.0%) berada di atas rentang optimal (50–70%), masuk kategori waspada karena terlalu basah. Secara keseluruhan, dua parameter (suhu dan kelembapan tanah) di luar optimal, sehingga status waspada.</t>
  </si>
  <si>
    <t>Saran: Turunkan suhu greenhouse dengan meningkatkan ventilasi atau menggunakan pendingin evaporatif, Kurangi frekuensi penyiraman atau perbaiki drainase untuk menurunkan kelembapan tanah, Pantau intensitas cahaya secara berkala untuk memastikan tidak ada perubahan signifikan</t>
  </si>
  <si>
    <t>[Waspada] Suhu udara 23.4°C berada dalam rentang optimal (18–26°C). Kelembapan udara 84% melebihi rentang optimal (60–80%), mengindikasikan kondisi terlalu lembab. Intensitas cahaya 0.0 lux tergolong gelap, namun perlu dikonfirmasi apakah saat ini malam hari atau sensor bermasalah. Kelembapan tanah 88% jauh di atas rentang optimal (50–70%), menunjukkan tanah terlalu basah yang berisiko menyebabkan busuk akar.</t>
  </si>
  <si>
    <t>Saran: Aktifkan ventilasi atau kipas untuk menurunkan kelembapan udara hingga ke rentang optimal., Kurangi frekuensi penyiraman dan perbaiki drainase tanah untuk menurunkan kelembapan tanah., Periksa kalibrasi sensor cahaya; pastikan pencahayaan tambahan tersedia jika diperlukan pada siang hari.</t>
  </si>
  <si>
    <t>[Bahaya] Suhu udara 32.8°C berada di atas rentang optimal (18–26°C), termasuk berbahaya bagi bawang putih tunggal. Kelembapan udara 44% di bawah rentang optimal (60–80%), menyebabkan kondisi kering. Intensitas cahaya 1691.9 lux melebihi rentang siang cerah wajar (400-1500 lux), tergolong terik berlebihan. Kelembapan tanah 73% di atas rentang optimal (50-70%), menunjukkan tanah terlalu basah. Kombinasi suhu tinggi, udara kering, cahaya terik, dan tanah basah meningkatkan risiko stres, busuk akar, dan gangguan pertumbuhan.</t>
  </si>
  <si>
    <t>Saran: Segera turunkan suhu dengan mengaktifkan sistem pendingin atau ventilasi maksimal., Tingkatkan kelembapan udara dengan pengabutan (mist) atau pelembap udara., Kurangi intensitas cahaya dengan memasang naungan atau mengurangi durasi pencahayaan buatan., Kurangi frekuensi penyiraman dan perbaiki drainase untuk menurunkan kelembapan tanah.</t>
  </si>
  <si>
    <t>[Aman] Suhu udara 27.4 °C sedikit di atas rentang optimal (18–26 °C), masuk kategori waspada. Kelembapan udara 62.0% berada dalam rentang optimal (60–80%). Intensitas cahaya 469.6 lux tergolong normal (400-1500 lux). Kelembapan tanah 69.0% berada dalam rentang optimal (50–70%). Secara keseluruhan, hanya suhu yang sedikit tinggi, namun masih dalam batas toleransi.</t>
  </si>
  <si>
    <t>Saran: Pantau suhu udara secara berkala, jika terus meningkat pertimbangkan untuk mengaktifkan sistem pendingin atau ventilasi., Pertahankan kelembapan udara dan tanah pada kondisi saat ini., Pastikan pencahayaan tetap stabil, tidak perlu penyesuaian.</t>
  </si>
  <si>
    <t>[Aman] Suhu udara 23.1°C berada dalam rentang optimal (18–26°C). Kelembapan udara 85% melebihi rentang optimal (60–80%), namun masih dalam batas toleransi untuk bawang putih tunggal. Intensitas cahaya 0.0 lux menunjukkan kondisi gelap (malam hari atau tertutup), yang wajar pada malam hari. Kelembapan tanah 65% berada dalam rentang optimal (50–70%). Secara keseluruhan, kondisi greenhouse aman dengan catatan kelembapan udara sedikit tinggi.</t>
  </si>
  <si>
    <t>Saran: Pantau kelembapan udara secara berkala; jika terus tinggi, pertimbangkan meningkatkan ventilasi atau menggunakan dehumidifier., Pastikan pencahayaan tambahan tersedia jika kondisi gelap berlangsung lama (misalnya saat mendung atau malam hari) untuk mendukung fotosintesis., Lanjutkan pemantauan suhu dan kelembapan tanah secara rutin untuk menjaga kondisi optimal.</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</si>
  <si>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t>
  </si>
  <si>
    <t>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</si>
  <si>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t>
  </si>
  <si>
    <t>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</si>
  <si>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t>
  </si>
  <si>
    <t>Saran: Aktifkan sistem pendingin atau naungan untuk menurunkan suhu udara ke rentang optimal., Tingkatkan kelembapan udara dengan mengaktifkan misting atau penyemprotan air halus., Pantau suhu secara berkala dan pastikan ventilasi berjalan baik.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</si>
</sst>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mmm\-yy"/>
  </numFmts>
  <fonts count="22">
    <font>
      <sz val="11.0"/>
      <color theme="1"/>
      <name val="Calibri"/>
      <scheme val="minor"/>
    </font>
    <font>
      <b/>
      <sz val="13.0"/>
      <color rgb="FFFFFFFF"/>
      <name val="Times New Roman"/>
    </font>
    <font/>
    <font>
      <i/>
      <sz val="10.0"/>
      <color rgb="FF2F5496"/>
      <name val="Times New Roman"/>
    </font>
    <font>
      <b/>
      <sz val="11.0"/>
      <color rgb="FFFFFFFF"/>
      <name val="Times New Roman"/>
    </font>
    <font>
      <b/>
      <sz val="13.0"/>
      <color rgb="FFFFFFFF"/>
      <name val="Arial"/>
    </font>
    <font>
      <sz val="10.0"/>
      <color rgb="FF000000"/>
      <name val="Times New Roman"/>
    </font>
    <font>
      <i/>
      <sz val="10.0"/>
      <color rgb="FF555555"/>
      <name val="Arial"/>
    </font>
    <font>
      <b/>
      <sz val="11.0"/>
      <color rgb="FFFFFFFF"/>
      <name val="Arial"/>
    </font>
    <font>
      <color theme="1"/>
      <name val="Arial"/>
    </font>
    <font>
      <b/>
      <sz val="10.0"/>
      <color rgb="FFFFFFFF"/>
      <name val="Times New Roman"/>
    </font>
    <font>
      <b/>
      <sz val="10.0"/>
      <color rgb="FF000000"/>
      <name val="Times New Roman"/>
    </font>
    <font>
      <sz val="11.0"/>
      <color theme="1"/>
      <name val="Calibri"/>
    </font>
    <font>
      <sz val="9.0"/>
      <color rgb="FF000000"/>
      <name val="Times New Roman"/>
    </font>
    <font>
      <b/>
      <sz val="11.0"/>
      <color rgb="FF1F4E79"/>
      <name val="Times New Roman"/>
    </font>
    <font>
      <b/>
      <sz val="11.0"/>
      <color rgb="FF000000"/>
      <name val="Times New Roman"/>
    </font>
    <font>
      <sz val="11.0"/>
      <color rgb="FF000000"/>
      <name val="Times New Roman"/>
    </font>
    <font>
      <sz val="10.0"/>
      <color theme="1"/>
      <name val="Arial"/>
    </font>
    <font>
      <sz val="11.0"/>
      <color theme="1"/>
      <name val="Arial"/>
    </font>
    <font>
      <b/>
      <sz val="10.0"/>
      <color theme="1"/>
      <name val="Arial"/>
    </font>
    <font>
      <color theme="1"/>
      <name val="Calibri"/>
      <scheme val="minor"/>
    </font>
    <font>
      <sz val="11.0"/>
      <color rgb="FF006100"/>
      <name val="Calibri"/>
    </font>
  </fonts>
  <fills count="17">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1F5C2E"/>
        <bgColor rgb="FF1F5C2E"/>
      </patternFill>
    </fill>
    <fill>
      <patternFill patternType="solid">
        <fgColor rgb="FFDEEAF1"/>
        <bgColor rgb="FFDEEAF1"/>
      </patternFill>
    </fill>
    <fill>
      <patternFill patternType="solid">
        <fgColor rgb="FFFFFFFF"/>
        <bgColor rgb="FFFFFFFF"/>
      </patternFill>
    </fill>
    <fill>
      <patternFill patternType="solid">
        <fgColor rgb="FFF0F7F0"/>
        <bgColor rgb="FFF0F7F0"/>
      </patternFill>
    </fill>
    <fill>
      <patternFill patternType="solid">
        <fgColor rgb="FFEBF5EB"/>
        <bgColor rgb="FFEBF5EB"/>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FFACD"/>
        <bgColor rgb="FFFFFACD"/>
      </patternFill>
    </fill>
    <fill>
      <patternFill patternType="solid">
        <fgColor rgb="FFFDE9D9"/>
        <bgColor rgb="FFFDE9D9"/>
      </patternFill>
    </fill>
    <fill>
      <patternFill patternType="solid">
        <fgColor rgb="FFE8F5E9"/>
        <bgColor rgb="FFE8F5E9"/>
      </patternFill>
    </fill>
    <fill>
      <patternFill patternType="solid">
        <fgColor rgb="FFEBFAE0"/>
        <bgColor rgb="FFEBFAE0"/>
      </patternFill>
    </fill>
    <fill>
      <patternFill patternType="solid">
        <fgColor theme="0"/>
        <bgColor theme="0"/>
      </patternFill>
    </fill>
  </fills>
  <borders count="17">
    <border/>
    <border>
      <left style="thin">
        <color rgb="FF8EA9C1"/>
      </left>
      <top style="thin">
        <color rgb="FF8EA9C1"/>
      </top>
      <bottom style="thin">
        <color rgb="FF8EA9C1"/>
      </bottom>
    </border>
    <border>
      <top style="thin">
        <color rgb="FF8EA9C1"/>
      </top>
      <bottom style="thin">
        <color rgb="FF8EA9C1"/>
      </bottom>
    </border>
    <border>
      <right/>
      <top style="thin">
        <color rgb="FF8EA9C1"/>
      </top>
      <bottom style="thin">
        <color rgb="FF8EA9C1"/>
      </bottom>
    </border>
    <border>
      <left/>
      <top/>
      <bottom/>
    </border>
    <border>
      <top/>
      <bottom/>
    </border>
    <border>
      <right/>
      <top/>
      <bottom/>
    </border>
    <border>
      <left style="thin">
        <color rgb="FFFFFFFF"/>
      </left>
      <right style="thin">
        <color rgb="FFFFFFFF"/>
      </right>
      <top style="thin">
        <color rgb="FFFFFFFF"/>
      </top>
      <bottom style="thin">
        <color rgb="FFFFFFFF"/>
      </bottom>
    </border>
    <border>
      <left/>
      <right/>
      <top/>
      <bottom/>
    </border>
    <border>
      <left style="thin">
        <color rgb="FFAAAAAA"/>
      </left>
      <right style="thin">
        <color rgb="FFAAAAAA"/>
      </right>
      <top style="thin">
        <color rgb="FFAAAAAA"/>
      </top>
      <bottom style="thin">
        <color rgb="FFAAAAAA"/>
      </bottom>
    </border>
    <border>
      <left style="thin">
        <color rgb="FF8EA9C1"/>
      </left>
      <right style="thin">
        <color rgb="FF8EA9C1"/>
      </right>
      <top style="thin">
        <color rgb="FF8EA9C1"/>
      </top>
      <bottom style="thin">
        <color rgb="FF8EA9C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rder>
    <border>
      <left/>
      <right/>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center" shrinkToFit="0" vertical="center" wrapText="1"/>
    </xf>
    <xf borderId="1" fillId="3" fontId="4" numFmtId="0" xfId="0" applyAlignment="1" applyBorder="1" applyFill="1" applyFont="1">
      <alignment horizontal="left" shrinkToFit="0" vertical="center" wrapText="1"/>
    </xf>
    <xf borderId="4" fillId="4" fontId="5" numFmtId="0" xfId="0" applyAlignment="1" applyBorder="1" applyFill="1" applyFont="1">
      <alignment horizontal="center" vertical="center"/>
    </xf>
    <xf borderId="1" fillId="5" fontId="6" numFmtId="0" xfId="0" applyAlignment="1" applyBorder="1" applyFill="1" applyFont="1">
      <alignment horizontal="left" shrinkToFit="0" vertical="center" wrapText="1"/>
    </xf>
    <xf borderId="5" fillId="0" fontId="2" numFmtId="0" xfId="0" applyBorder="1" applyFont="1"/>
    <xf borderId="1" fillId="6" fontId="6" numFmtId="0" xfId="0" applyAlignment="1" applyBorder="1" applyFill="1" applyFont="1">
      <alignment horizontal="left" shrinkToFit="0" vertical="center" wrapText="1"/>
    </xf>
    <xf borderId="6" fillId="0" fontId="2" numFmtId="0" xfId="0" applyBorder="1" applyFont="1"/>
    <xf borderId="4" fillId="7" fontId="7" numFmtId="0" xfId="0" applyAlignment="1" applyBorder="1" applyFill="1" applyFont="1">
      <alignment horizontal="center" readingOrder="0" shrinkToFit="0" vertical="center" wrapText="1"/>
    </xf>
    <xf borderId="7" fillId="4" fontId="8" numFmtId="0" xfId="0" applyAlignment="1" applyBorder="1" applyFill="1" applyFont="1">
      <alignment horizontal="center" shrinkToFit="0" vertical="center" wrapText="1"/>
    </xf>
    <xf borderId="8" fillId="5" fontId="6" numFmtId="0" xfId="0" applyAlignment="1" applyBorder="1" applyFill="1" applyFont="1">
      <alignment horizontal="left" shrinkToFit="0" vertical="center" wrapText="1"/>
    </xf>
    <xf borderId="9" fillId="8" fontId="9" numFmtId="0" xfId="0" applyAlignment="1" applyBorder="1" applyFill="1" applyFont="1">
      <alignment horizontal="center" shrinkToFit="0" vertical="top" wrapText="1"/>
    </xf>
    <xf borderId="1" fillId="5" fontId="3" numFmtId="0" xfId="0" applyAlignment="1" applyBorder="1" applyFill="1" applyFont="1">
      <alignment horizontal="left" shrinkToFit="0" vertical="center" wrapText="1"/>
    </xf>
    <xf borderId="9" fillId="6" fontId="9" numFmtId="0" xfId="0" applyAlignment="1" applyBorder="1" applyFill="1" applyFont="1">
      <alignment horizontal="center" readingOrder="0" shrinkToFit="0" vertical="top" wrapText="1"/>
    </xf>
    <xf borderId="9" fillId="8" fontId="9" numFmtId="0" xfId="0" applyAlignment="1" applyBorder="1" applyFill="1" applyFont="1">
      <alignment shrinkToFit="0" vertical="top" wrapText="1"/>
    </xf>
    <xf borderId="10" fillId="2" fontId="10"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top" wrapText="1"/>
    </xf>
    <xf borderId="1" fillId="2" fontId="10" numFmtId="0" xfId="0" applyAlignment="1" applyBorder="1" applyFill="1" applyFont="1">
      <alignment horizontal="center" shrinkToFit="0" vertical="center" wrapText="1"/>
    </xf>
    <xf borderId="9" fillId="6" fontId="9" numFmtId="0" xfId="0" applyAlignment="1" applyBorder="1" applyFill="1" applyFont="1">
      <alignment shrinkToFit="0" vertical="top" wrapText="1"/>
    </xf>
    <xf borderId="10" fillId="5" fontId="11" numFmtId="0" xfId="0" applyAlignment="1" applyBorder="1" applyFill="1" applyFont="1">
      <alignment horizontal="left" shrinkToFit="0" vertical="center" wrapText="1"/>
    </xf>
    <xf borderId="10" fillId="9" fontId="11" numFmtId="0" xfId="0" applyAlignment="1" applyBorder="1" applyFill="1" applyFont="1">
      <alignment horizontal="center" shrinkToFit="0" vertical="center" wrapText="1"/>
    </xf>
    <xf borderId="10" fillId="10" fontId="6" numFmtId="0" xfId="0" applyAlignment="1" applyBorder="1" applyFill="1" applyFont="1">
      <alignment horizontal="center" shrinkToFit="0" vertical="center" wrapText="1"/>
    </xf>
    <xf borderId="10" fillId="11" fontId="6" numFmtId="0" xfId="0" applyAlignment="1" applyBorder="1" applyFill="1" applyFont="1">
      <alignment horizontal="center" shrinkToFit="0" vertical="center" wrapText="1"/>
    </xf>
    <xf borderId="10" fillId="5" fontId="6" numFmtId="0" xfId="0" applyAlignment="1" applyBorder="1" applyFill="1" applyFont="1">
      <alignment horizontal="center" shrinkToFit="0" vertical="center" wrapText="1"/>
    </xf>
    <xf borderId="9" fillId="0" fontId="12" numFmtId="0" xfId="0" applyAlignment="1" applyBorder="1" applyFont="1">
      <alignment readingOrder="0"/>
    </xf>
    <xf borderId="1" fillId="5" fontId="13" numFmtId="0" xfId="0" applyAlignment="1" applyBorder="1" applyFill="1" applyFont="1">
      <alignment horizontal="left" shrinkToFit="0" vertical="center" wrapText="1"/>
    </xf>
    <xf borderId="10" fillId="6" fontId="11" numFmtId="0" xfId="0" applyAlignment="1" applyBorder="1" applyFill="1" applyFont="1">
      <alignment horizontal="left" shrinkToFit="0" vertical="center" wrapText="1"/>
    </xf>
    <xf borderId="9" fillId="12" fontId="9" numFmtId="0" xfId="0" applyAlignment="1" applyBorder="1" applyFill="1" applyFont="1">
      <alignment horizontal="center"/>
    </xf>
    <xf borderId="10" fillId="6" fontId="6" numFmtId="0" xfId="0" applyAlignment="1" applyBorder="1" applyFill="1" applyFont="1">
      <alignment horizontal="center" shrinkToFit="0" vertical="center" wrapText="1"/>
    </xf>
    <xf borderId="1" fillId="6" fontId="13" numFmtId="0" xfId="0" applyAlignment="1" applyBorder="1" applyFill="1" applyFont="1">
      <alignment horizontal="left" shrinkToFit="0" vertical="center" wrapText="1"/>
    </xf>
    <xf borderId="9" fillId="0" fontId="9" numFmtId="0" xfId="0" applyAlignment="1" applyBorder="1" applyFont="1">
      <alignment horizontal="center" shrinkToFit="0" wrapText="1"/>
    </xf>
    <xf borderId="0" fillId="0" fontId="12" numFmtId="0" xfId="0" applyFont="1"/>
    <xf borderId="10" fillId="5" fontId="11" numFmtId="0" xfId="0" applyAlignment="1" applyBorder="1" applyFill="1" applyFont="1">
      <alignment horizontal="center" shrinkToFit="0" vertical="center" wrapText="1"/>
    </xf>
    <xf borderId="10" fillId="5" fontId="6" numFmtId="0" xfId="0" applyAlignment="1" applyBorder="1" applyFill="1" applyFont="1">
      <alignment horizontal="left" shrinkToFit="0" vertical="center" wrapText="1"/>
    </xf>
    <xf borderId="9" fillId="8" fontId="9" numFmtId="0" xfId="0" applyAlignment="1" applyBorder="1" applyFill="1" applyFont="1">
      <alignment horizontal="center" readingOrder="0" shrinkToFit="0" vertical="top" wrapText="1"/>
    </xf>
    <xf borderId="10" fillId="11" fontId="13" numFmtId="0" xfId="0" applyAlignment="1" applyBorder="1" applyFill="1" applyFont="1">
      <alignment horizontal="center" shrinkToFit="0" vertical="center" wrapText="1"/>
    </xf>
    <xf borderId="10" fillId="13" fontId="13" numFmtId="0" xfId="0" applyAlignment="1" applyBorder="1" applyFill="1" applyFont="1">
      <alignment horizontal="center" shrinkToFit="0" vertical="center" wrapText="1"/>
    </xf>
    <xf borderId="10" fillId="10" fontId="13" numFmtId="0" xfId="0" applyAlignment="1" applyBorder="1" applyFill="1" applyFont="1">
      <alignment horizontal="center" shrinkToFit="0" vertical="center" wrapText="1"/>
    </xf>
    <xf borderId="9" fillId="14" fontId="9" numFmtId="0" xfId="0" applyAlignment="1" applyBorder="1" applyFill="1" applyFont="1">
      <alignment horizontal="center" shrinkToFit="0" vertical="top" wrapText="1"/>
    </xf>
    <xf borderId="10" fillId="15" fontId="13" numFmtId="0" xfId="0" applyAlignment="1" applyBorder="1" applyFill="1" applyFont="1">
      <alignment horizontal="center" shrinkToFit="0" vertical="center" wrapText="1"/>
    </xf>
    <xf borderId="10" fillId="9" fontId="13" numFmtId="0" xfId="0" applyAlignment="1" applyBorder="1" applyFill="1" applyFont="1">
      <alignment horizontal="center" shrinkToFit="0" vertical="center" wrapText="1"/>
    </xf>
    <xf borderId="9" fillId="14" fontId="9" numFmtId="0" xfId="0" applyAlignment="1" applyBorder="1" applyFill="1" applyFont="1">
      <alignment shrinkToFit="0" vertical="top" wrapText="1"/>
    </xf>
    <xf borderId="10" fillId="6" fontId="11" numFmtId="0" xfId="0" applyAlignment="1" applyBorder="1" applyFill="1" applyFont="1">
      <alignment horizontal="center" shrinkToFit="0" vertical="center" wrapText="1"/>
    </xf>
    <xf borderId="10" fillId="6" fontId="6" numFmtId="0" xfId="0" applyAlignment="1" applyBorder="1" applyFill="1" applyFont="1">
      <alignment horizontal="left" shrinkToFit="0" vertical="center" wrapText="1"/>
    </xf>
    <xf borderId="11" fillId="3" fontId="4" numFmtId="0" xfId="0" applyAlignment="1" applyBorder="1" applyFill="1" applyFont="1">
      <alignment horizontal="left" shrinkToFit="0" vertical="center" wrapText="1"/>
    </xf>
    <xf borderId="12" fillId="0" fontId="2" numFmtId="0" xfId="0" applyBorder="1" applyFont="1"/>
    <xf borderId="9" fillId="0" fontId="12" numFmtId="0" xfId="0" applyAlignment="1" applyBorder="1" applyFont="1">
      <alignment horizontal="right" vertical="bottom"/>
    </xf>
    <xf borderId="13" fillId="0" fontId="2" numFmtId="0" xfId="0" applyBorder="1" applyFont="1"/>
    <xf borderId="11" fillId="3" fontId="4" numFmtId="0" xfId="0" applyAlignment="1" applyBorder="1" applyFill="1" applyFont="1">
      <alignment horizontal="left" readingOrder="0" shrinkToFit="0" vertical="center" wrapText="1"/>
    </xf>
    <xf borderId="14" fillId="2" fontId="10" numFmtId="0" xfId="0" applyAlignment="1" applyBorder="1" applyFill="1" applyFont="1">
      <alignment horizontal="center" shrinkToFit="0" vertical="center" wrapText="1"/>
    </xf>
    <xf borderId="14" fillId="6" fontId="6" numFmtId="0" xfId="0" applyAlignment="1" applyBorder="1" applyFill="1" applyFont="1">
      <alignment horizontal="center" shrinkToFit="0" vertical="center" wrapText="1"/>
    </xf>
    <xf borderId="14" fillId="6" fontId="6" numFmtId="0" xfId="0" applyAlignment="1" applyBorder="1" applyFill="1" applyFont="1">
      <alignment horizontal="left" shrinkToFit="0" vertical="center" wrapText="1"/>
    </xf>
    <xf borderId="14" fillId="6" fontId="11" numFmtId="0" xfId="0" applyAlignment="1" applyBorder="1" applyFill="1" applyFont="1">
      <alignment horizontal="center" shrinkToFit="0" vertical="center" wrapText="1"/>
    </xf>
    <xf borderId="14" fillId="5" fontId="6" numFmtId="0" xfId="0" applyAlignment="1" applyBorder="1" applyFill="1" applyFont="1">
      <alignment horizontal="center" shrinkToFit="0" vertical="center" wrapText="1"/>
    </xf>
    <xf borderId="14" fillId="5" fontId="6" numFmtId="0" xfId="0" applyAlignment="1" applyBorder="1" applyFill="1" applyFont="1">
      <alignment horizontal="left" shrinkToFit="0" vertical="center" wrapText="1"/>
    </xf>
    <xf borderId="14" fillId="5" fontId="11" numFmtId="0" xfId="0" applyAlignment="1" applyBorder="1" applyFill="1" applyFont="1">
      <alignment horizontal="center" shrinkToFit="0" vertical="center" wrapText="1"/>
    </xf>
    <xf borderId="0" fillId="0" fontId="14" numFmtId="0" xfId="0" applyAlignment="1" applyFont="1">
      <alignment horizontal="center" shrinkToFit="0" vertical="center" wrapText="1"/>
    </xf>
    <xf borderId="0" fillId="0" fontId="15" numFmtId="0" xfId="0" applyAlignment="1" applyFont="1">
      <alignment horizontal="left" shrinkToFit="0" vertical="center" wrapText="1"/>
    </xf>
    <xf borderId="0" fillId="0" fontId="16" numFmtId="0" xfId="0" applyAlignment="1" applyFont="1">
      <alignment horizontal="left" readingOrder="0" shrinkToFit="0" vertical="center" wrapText="1"/>
    </xf>
    <xf borderId="1" fillId="0" fontId="4" numFmtId="0" xfId="0" applyAlignment="1" applyBorder="1" applyFont="1">
      <alignment horizontal="left" shrinkToFit="0" vertical="center" wrapText="1"/>
    </xf>
    <xf borderId="10" fillId="0" fontId="10"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0" fillId="0" fontId="6" numFmtId="0" xfId="0" applyAlignment="1" applyBorder="1" applyFont="1">
      <alignment horizontal="left" shrinkToFit="0" vertical="center" wrapText="1"/>
    </xf>
    <xf borderId="10" fillId="0" fontId="11" numFmtId="0" xfId="0" applyAlignment="1" applyBorder="1" applyFont="1">
      <alignment horizontal="center" shrinkToFit="0" vertical="center" wrapText="1"/>
    </xf>
    <xf borderId="15" fillId="12" fontId="9" numFmtId="0" xfId="0" applyAlignment="1" applyBorder="1" applyFill="1" applyFont="1">
      <alignment horizontal="center"/>
    </xf>
    <xf borderId="14" fillId="12" fontId="9" numFmtId="0" xfId="0" applyAlignment="1" applyBorder="1" applyFill="1" applyFont="1">
      <alignment horizontal="center"/>
    </xf>
    <xf borderId="0" fillId="0" fontId="17" numFmtId="0" xfId="0" applyAlignment="1" applyFont="1">
      <alignment horizontal="center" shrinkToFit="0" vertical="top" wrapText="1"/>
    </xf>
    <xf borderId="0" fillId="0" fontId="17" numFmtId="0" xfId="0" applyAlignment="1" applyFont="1">
      <alignment horizontal="center" vertical="center"/>
    </xf>
    <xf borderId="0" fillId="0" fontId="17" numFmtId="0" xfId="0" applyAlignment="1" applyFont="1">
      <alignment horizontal="center" shrinkToFit="0" vertical="center" wrapText="1"/>
    </xf>
    <xf borderId="9" fillId="0" fontId="9" numFmtId="0" xfId="0" applyAlignment="1" applyBorder="1" applyFont="1">
      <alignment horizontal="center" shrinkToFit="0" vertical="top" wrapText="1"/>
    </xf>
    <xf borderId="9" fillId="0" fontId="9" numFmtId="0" xfId="0" applyAlignment="1" applyBorder="1" applyFont="1">
      <alignment shrinkToFit="0" vertical="top" wrapText="1"/>
    </xf>
    <xf borderId="9" fillId="0" fontId="18" numFmtId="164" xfId="0" applyAlignment="1" applyBorder="1" applyFont="1" applyNumberFormat="1">
      <alignment horizontal="center" vertical="top"/>
    </xf>
    <xf borderId="16" fillId="16" fontId="17" numFmtId="0" xfId="0" applyAlignment="1" applyBorder="1" applyFill="1" applyFont="1">
      <alignment horizontal="center" shrinkToFit="0" vertical="top" wrapText="1"/>
    </xf>
    <xf borderId="14" fillId="0" fontId="9" numFmtId="20" xfId="0" applyAlignment="1" applyBorder="1" applyFont="1" applyNumberFormat="1">
      <alignment horizontal="center" shrinkToFit="0" vertical="top" wrapText="1"/>
    </xf>
    <xf borderId="16" fillId="16" fontId="17" numFmtId="0" xfId="0" applyAlignment="1" applyBorder="1" applyFill="1" applyFont="1">
      <alignment horizontal="center" vertical="top"/>
    </xf>
    <xf borderId="14" fillId="0" fontId="9" numFmtId="0" xfId="0" applyAlignment="1" applyBorder="1" applyFont="1">
      <alignment shrinkToFit="0" vertical="top" wrapText="1"/>
    </xf>
    <xf borderId="16" fillId="16" fontId="17" numFmtId="0" xfId="0" applyAlignment="1" applyBorder="1" applyFill="1" applyFont="1">
      <alignment horizontal="left" shrinkToFit="0" vertical="top" wrapText="1"/>
    </xf>
    <xf borderId="8" fillId="16" fontId="17" numFmtId="0" xfId="0" applyAlignment="1" applyBorder="1" applyFill="1" applyFont="1">
      <alignment horizontal="center" shrinkToFit="0" vertical="top" wrapText="1"/>
    </xf>
    <xf borderId="15" fillId="8" fontId="9" numFmtId="0" xfId="0" applyAlignment="1" applyBorder="1" applyFill="1" applyFont="1">
      <alignment horizontal="center" shrinkToFit="0" vertical="top" wrapText="1"/>
    </xf>
    <xf borderId="8" fillId="16" fontId="17" numFmtId="0" xfId="0" applyAlignment="1" applyBorder="1" applyFill="1" applyFont="1">
      <alignment horizontal="center" vertical="top"/>
    </xf>
    <xf borderId="15" fillId="14" fontId="18" numFmtId="164" xfId="0" applyAlignment="1" applyBorder="1" applyFill="1" applyFont="1" applyNumberFormat="1">
      <alignment horizontal="center" vertical="top"/>
    </xf>
    <xf borderId="8" fillId="16" fontId="17" numFmtId="0" xfId="0" applyAlignment="1" applyBorder="1" applyFill="1" applyFont="1">
      <alignment horizontal="left" shrinkToFit="0" vertical="top" wrapText="1"/>
    </xf>
    <xf borderId="14" fillId="8" fontId="9" numFmtId="20" xfId="0" applyAlignment="1" applyBorder="1" applyFill="1" applyFont="1" applyNumberFormat="1">
      <alignment horizontal="center" shrinkToFit="0" vertical="top" wrapText="1"/>
    </xf>
    <xf borderId="15" fillId="8" fontId="9" numFmtId="0" xfId="0" applyAlignment="1" applyBorder="1" applyFill="1" applyFont="1">
      <alignment shrinkToFit="0" vertical="top" wrapText="1"/>
    </xf>
    <xf borderId="14" fillId="8" fontId="9" numFmtId="0" xfId="0" applyAlignment="1" applyBorder="1" applyFill="1" applyFont="1">
      <alignment shrinkToFit="0" vertical="top" wrapText="1"/>
    </xf>
    <xf borderId="14" fillId="6" fontId="9" numFmtId="0" xfId="0" applyAlignment="1" applyBorder="1" applyFill="1" applyFont="1">
      <alignment horizontal="center" shrinkToFit="0" vertical="top" wrapText="1"/>
    </xf>
    <xf borderId="14" fillId="0" fontId="18" numFmtId="164" xfId="0" applyAlignment="1" applyBorder="1" applyFont="1" applyNumberFormat="1">
      <alignment horizontal="center" vertical="top"/>
    </xf>
    <xf borderId="0" fillId="0" fontId="17" numFmtId="0" xfId="0" applyAlignment="1" applyFont="1">
      <alignment horizontal="left" shrinkToFit="0" vertical="top" wrapText="1"/>
    </xf>
    <xf borderId="0" fillId="0" fontId="17" numFmtId="0" xfId="0" applyAlignment="1" applyFont="1">
      <alignment horizontal="left" readingOrder="0" shrinkToFit="0" vertical="top" wrapText="1"/>
    </xf>
    <xf borderId="0" fillId="0" fontId="19" numFmtId="0" xfId="0" applyAlignment="1" applyFont="1">
      <alignment horizontal="left" readingOrder="0" shrinkToFit="0" vertical="top" wrapText="1"/>
    </xf>
    <xf borderId="9" fillId="8" fontId="9" numFmtId="0" xfId="0" applyAlignment="1" applyBorder="1" applyFill="1" applyFont="1">
      <alignment horizontal="center" shrinkToFit="0" wrapText="1"/>
    </xf>
    <xf borderId="0" fillId="0" fontId="20" numFmtId="0" xfId="0" applyFont="1"/>
    <xf borderId="0" fillId="0" fontId="21" numFmtId="165" xfId="0" applyAlignment="1" applyFont="1" applyNumberFormat="1">
      <alignment horizontal="center" shrinkToFit="0" vertical="top" wrapText="1"/>
    </xf>
    <xf borderId="0" fillId="0" fontId="17" numFmtId="20" xfId="0" applyAlignment="1" applyFont="1" applyNumberFormat="1">
      <alignment horizontal="center" shrinkToFit="0" vertical="top" wrapText="1"/>
    </xf>
    <xf borderId="0" fillId="0" fontId="17" numFmtId="165" xfId="0" applyAlignment="1" applyFont="1" applyNumberFormat="1">
      <alignment horizontal="center" shrinkToFit="0" vertical="top" wrapText="1"/>
    </xf>
    <xf borderId="9" fillId="8" fontId="9" numFmtId="0" xfId="0" applyAlignment="1" applyBorder="1" applyFill="1" applyFont="1">
      <alignment horizontal="center" readingOrder="0" shrinkToFit="0" wrapText="1"/>
    </xf>
    <xf borderId="9" fillId="12" fontId="9" numFmtId="0" xfId="0" applyAlignment="1" applyBorder="1" applyFill="1" applyFont="1">
      <alignment horizontal="center" readingOrder="0"/>
    </xf>
    <xf borderId="9" fillId="14" fontId="12" numFmtId="0" xfId="0" applyAlignment="1" applyBorder="1" applyFill="1" applyFont="1">
      <alignment readingOrder="0"/>
    </xf>
    <xf borderId="9" fillId="8" fontId="12" numFmtId="0" xfId="0" applyAlignment="1" applyBorder="1" applyFill="1" applyFont="1">
      <alignment readingOrder="0"/>
    </xf>
    <xf borderId="9" fillId="6" fontId="9" numFmtId="0" xfId="0" applyAlignment="1" applyBorder="1" applyFill="1" applyFont="1">
      <alignment shrinkToFit="0" vertical="center" wrapText="1"/>
    </xf>
    <xf borderId="9" fillId="0" fontId="9" numFmtId="20" xfId="0" applyAlignment="1" applyBorder="1" applyFont="1" applyNumberFormat="1">
      <alignment horizontal="center" shrinkToFit="0" vertical="top" wrapText="1"/>
    </xf>
    <xf borderId="15" fillId="8" fontId="9" numFmtId="20" xfId="0" applyAlignment="1" applyBorder="1" applyFill="1" applyFont="1" applyNumberFormat="1">
      <alignment horizontal="center" shrinkToFit="0" vertical="top" wrapText="1"/>
    </xf>
    <xf borderId="14" fillId="0" fontId="9" numFmtId="0" xfId="0" applyAlignment="1" applyBorder="1" applyFont="1">
      <alignment horizontal="center" shrinkToFit="0" vertical="top" wrapText="1"/>
    </xf>
    <xf borderId="9" fillId="8" fontId="18" numFmtId="0" xfId="0" applyAlignment="1" applyBorder="1" applyFill="1" applyFont="1">
      <alignment horizontal="center" shrinkToFit="0" vertical="top" wrapText="1"/>
    </xf>
    <xf borderId="9" fillId="8" fontId="18" numFmtId="0" xfId="0" applyAlignment="1" applyBorder="1" applyFill="1" applyFont="1">
      <alignment shrinkToFit="0" vertical="top" wrapText="1"/>
    </xf>
    <xf borderId="9" fillId="6" fontId="18" numFmtId="0" xfId="0" applyAlignment="1" applyBorder="1" applyFill="1" applyFont="1">
      <alignment horizontal="center" shrinkToFit="0" vertical="top" wrapText="1"/>
    </xf>
    <xf borderId="9" fillId="6" fontId="18" numFmtId="0" xfId="0" applyAlignment="1" applyBorder="1" applyFill="1" applyFont="1">
      <alignment shrinkToFit="0" vertical="top" wrapText="1"/>
    </xf>
    <xf borderId="9" fillId="14" fontId="18" numFmtId="0" xfId="0" applyAlignment="1" applyBorder="1" applyFill="1" applyFont="1">
      <alignment horizontal="center" shrinkToFit="0" vertical="top" wrapText="1"/>
    </xf>
    <xf borderId="9" fillId="14" fontId="18" numFmtId="0" xfId="0" applyAlignment="1" applyBorder="1" applyFill="1" applyFont="1">
      <alignment shrinkToFit="0" vertical="top" wrapText="1"/>
    </xf>
    <xf borderId="9" fillId="0" fontId="18" numFmtId="0" xfId="0" applyAlignment="1" applyBorder="1" applyFont="1">
      <alignment horizontal="center" shrinkToFit="0" vertical="top" wrapText="1"/>
    </xf>
    <xf borderId="9" fillId="0" fontId="18" numFmtId="0" xfId="0" applyAlignment="1" applyBorder="1" applyFont="1">
      <alignment shrinkToFit="0" vertical="top" wrapText="1"/>
    </xf>
    <xf borderId="9" fillId="0" fontId="18" numFmtId="20" xfId="0" applyAlignment="1" applyBorder="1" applyFont="1" applyNumberFormat="1">
      <alignment horizontal="center" shrinkToFit="0" vertical="top" wrapText="1"/>
    </xf>
    <xf borderId="15" fillId="14" fontId="18" numFmtId="20" xfId="0" applyAlignment="1" applyBorder="1" applyFill="1" applyFont="1" applyNumberFormat="1">
      <alignment horizontal="center" shrinkToFit="0" vertical="top" wrapText="1"/>
    </xf>
    <xf borderId="15" fillId="14" fontId="18" numFmtId="0" xfId="0" applyAlignment="1" applyBorder="1" applyFill="1" applyFont="1">
      <alignment shrinkToFit="0" vertical="top" wrapText="1"/>
    </xf>
    <xf borderId="14" fillId="0" fontId="18" numFmtId="20" xfId="0" applyAlignment="1" applyBorder="1" applyFont="1" applyNumberFormat="1">
      <alignment horizontal="center" shrinkToFit="0" vertical="top" wrapText="1"/>
    </xf>
    <xf borderId="14" fillId="0" fontId="18" numFmtId="0" xfId="0" applyAlignment="1" applyBorder="1" applyFont="1">
      <alignment shrinkToFit="0" vertical="top" wrapText="1"/>
    </xf>
    <xf borderId="0" fillId="0" fontId="17"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8.0"/>
    <col customWidth="1" min="3" max="3" width="52.0"/>
    <col customWidth="1" min="4" max="8" width="14.0"/>
    <col customWidth="1" min="9" max="26" width="8.71"/>
  </cols>
  <sheetData>
    <row r="1" ht="31.5" customHeight="1">
      <c r="A1" s="1" t="s">
        <v>0</v>
      </c>
      <c r="B1" s="2"/>
      <c r="C1" s="2"/>
      <c r="D1" s="2"/>
      <c r="E1" s="2"/>
      <c r="F1" s="2"/>
      <c r="G1" s="2"/>
      <c r="H1" s="3"/>
    </row>
    <row r="2" ht="21.75" customHeight="1">
      <c r="A2" s="4" t="s">
        <v>1</v>
      </c>
      <c r="B2" s="2"/>
      <c r="C2" s="2"/>
      <c r="D2" s="2"/>
      <c r="E2" s="2"/>
      <c r="F2" s="2"/>
      <c r="G2" s="2"/>
      <c r="H2" s="2"/>
    </row>
    <row r="4" ht="21.75" customHeight="1">
      <c r="A4" s="5" t="s">
        <v>3</v>
      </c>
      <c r="B4" s="2"/>
      <c r="C4" s="2"/>
      <c r="D4" s="2"/>
      <c r="E4" s="2"/>
      <c r="F4" s="2"/>
      <c r="G4" s="2"/>
      <c r="H4" s="3"/>
    </row>
    <row r="5" ht="18.0" customHeight="1">
      <c r="A5" s="7" t="s">
        <v>4</v>
      </c>
      <c r="B5" s="2"/>
      <c r="C5" s="2"/>
      <c r="D5" s="2"/>
      <c r="E5" s="2"/>
      <c r="F5" s="2"/>
      <c r="G5" s="2"/>
      <c r="H5" s="3"/>
    </row>
    <row r="6" ht="18.0" customHeight="1">
      <c r="A6" s="9" t="s">
        <v>5</v>
      </c>
      <c r="B6" s="2"/>
      <c r="C6" s="2"/>
      <c r="D6" s="2"/>
      <c r="E6" s="2"/>
      <c r="F6" s="2"/>
      <c r="G6" s="2"/>
      <c r="H6" s="3"/>
    </row>
    <row r="7" ht="18.0" customHeight="1">
      <c r="A7" s="7" t="s">
        <v>6</v>
      </c>
      <c r="B7" s="2"/>
      <c r="C7" s="2"/>
      <c r="D7" s="2"/>
      <c r="E7" s="2"/>
      <c r="F7" s="2"/>
      <c r="G7" s="2"/>
      <c r="H7" s="3"/>
    </row>
    <row r="8" ht="18.0" customHeight="1">
      <c r="A8" s="9" t="s">
        <v>7</v>
      </c>
      <c r="B8" s="2"/>
      <c r="C8" s="2"/>
      <c r="D8" s="2"/>
      <c r="E8" s="2"/>
      <c r="F8" s="2"/>
      <c r="G8" s="2"/>
      <c r="H8" s="3"/>
    </row>
    <row r="9" ht="18.0" customHeight="1">
      <c r="A9" s="9" t="s">
        <v>9</v>
      </c>
      <c r="B9" s="2"/>
      <c r="C9" s="2"/>
      <c r="D9" s="2"/>
      <c r="E9" s="2"/>
      <c r="F9" s="2"/>
      <c r="G9" s="2"/>
      <c r="H9" s="3"/>
    </row>
    <row r="10" ht="18.0" customHeight="1">
      <c r="A10" s="7" t="s">
        <v>10</v>
      </c>
      <c r="B10" s="2"/>
      <c r="C10" s="2"/>
      <c r="D10" s="2"/>
      <c r="E10" s="2"/>
      <c r="F10" s="2"/>
      <c r="G10" s="2"/>
      <c r="H10" s="3"/>
    </row>
    <row r="11" ht="18.0" customHeight="1">
      <c r="A11" s="13"/>
      <c r="B11" s="13"/>
      <c r="C11" s="13"/>
      <c r="D11" s="13"/>
      <c r="E11" s="13"/>
      <c r="F11" s="13"/>
      <c r="G11" s="13"/>
      <c r="H11" s="13"/>
    </row>
    <row r="12">
      <c r="A12" s="13"/>
      <c r="B12" s="13"/>
      <c r="C12" s="13"/>
      <c r="D12" s="13"/>
      <c r="E12" s="13"/>
      <c r="F12" s="13"/>
      <c r="G12" s="13"/>
      <c r="H12" s="13"/>
    </row>
    <row r="13" ht="21.75" customHeight="1">
      <c r="A13" s="5" t="s">
        <v>22</v>
      </c>
      <c r="B13" s="2"/>
      <c r="C13" s="2"/>
      <c r="D13" s="2"/>
      <c r="E13" s="2"/>
      <c r="F13" s="2"/>
      <c r="G13" s="2"/>
      <c r="H13" s="3"/>
    </row>
    <row r="14" ht="19.5" customHeight="1">
      <c r="A14" s="15" t="s">
        <v>23</v>
      </c>
      <c r="B14" s="2"/>
      <c r="C14" s="2"/>
      <c r="D14" s="2"/>
      <c r="E14" s="2"/>
      <c r="F14" s="2"/>
      <c r="G14" s="2"/>
      <c r="H14" s="3"/>
    </row>
    <row r="15" ht="34.5" customHeight="1">
      <c r="A15" s="18" t="s">
        <v>27</v>
      </c>
      <c r="B15" s="18" t="s">
        <v>29</v>
      </c>
      <c r="C15" s="18" t="s">
        <v>30</v>
      </c>
      <c r="D15" s="18" t="s">
        <v>31</v>
      </c>
      <c r="E15" s="18" t="s">
        <v>32</v>
      </c>
      <c r="F15" s="20" t="s">
        <v>33</v>
      </c>
      <c r="G15" s="2"/>
      <c r="H15" s="3"/>
    </row>
    <row r="16" ht="72.0" customHeight="1">
      <c r="A16" s="22" t="s">
        <v>36</v>
      </c>
      <c r="B16" s="23" t="s">
        <v>39</v>
      </c>
      <c r="C16" s="24" t="s">
        <v>40</v>
      </c>
      <c r="D16" s="25" t="s">
        <v>41</v>
      </c>
      <c r="E16" s="26" t="s">
        <v>42</v>
      </c>
      <c r="F16" s="28" t="s">
        <v>43</v>
      </c>
      <c r="G16" s="2"/>
      <c r="H16" s="3"/>
    </row>
    <row r="17" ht="72.0" customHeight="1">
      <c r="A17" s="29" t="s">
        <v>44</v>
      </c>
      <c r="B17" s="23" t="s">
        <v>45</v>
      </c>
      <c r="C17" s="24" t="s">
        <v>46</v>
      </c>
      <c r="D17" s="25" t="s">
        <v>47</v>
      </c>
      <c r="E17" s="31" t="s">
        <v>48</v>
      </c>
      <c r="F17" s="32" t="s">
        <v>49</v>
      </c>
      <c r="G17" s="2"/>
      <c r="H17" s="3"/>
    </row>
    <row r="18" ht="72.0" customHeight="1">
      <c r="A18" s="22" t="s">
        <v>50</v>
      </c>
      <c r="B18" s="23" t="s">
        <v>51</v>
      </c>
      <c r="C18" s="24" t="s">
        <v>52</v>
      </c>
      <c r="D18" s="25" t="s">
        <v>53</v>
      </c>
      <c r="E18" s="26" t="s">
        <v>48</v>
      </c>
      <c r="F18" s="28" t="s">
        <v>54</v>
      </c>
      <c r="G18" s="2"/>
      <c r="H18" s="3"/>
    </row>
    <row r="19">
      <c r="A19" s="13"/>
      <c r="B19" s="13"/>
      <c r="C19" s="13"/>
      <c r="D19" s="13"/>
      <c r="E19" s="13"/>
      <c r="F19" s="13"/>
      <c r="G19" s="13"/>
      <c r="H19" s="13"/>
    </row>
    <row r="20" ht="21.75" customHeight="1">
      <c r="A20" s="34"/>
      <c r="B20" s="34"/>
      <c r="C20" s="34"/>
      <c r="D20" s="34"/>
      <c r="E20" s="34"/>
      <c r="F20" s="34"/>
      <c r="G20" s="34"/>
      <c r="H20" s="34"/>
    </row>
    <row r="21" ht="19.5" customHeight="1">
      <c r="A21" s="5" t="s">
        <v>55</v>
      </c>
      <c r="B21" s="2"/>
      <c r="C21" s="2"/>
      <c r="D21" s="2"/>
      <c r="E21" s="2"/>
      <c r="F21" s="2"/>
      <c r="G21" s="2"/>
      <c r="H21" s="3"/>
    </row>
    <row r="22" ht="54.0" customHeight="1">
      <c r="A22" s="18" t="s">
        <v>11</v>
      </c>
      <c r="B22" s="18" t="s">
        <v>56</v>
      </c>
      <c r="C22" s="18" t="s">
        <v>57</v>
      </c>
      <c r="D22" s="18" t="s">
        <v>58</v>
      </c>
      <c r="E22" s="18" t="s">
        <v>59</v>
      </c>
      <c r="F22" s="18" t="s">
        <v>60</v>
      </c>
      <c r="G22" s="18" t="s">
        <v>61</v>
      </c>
      <c r="H22" s="18" t="s">
        <v>62</v>
      </c>
    </row>
    <row r="23" ht="54.0" customHeight="1">
      <c r="A23" s="35" t="s">
        <v>63</v>
      </c>
      <c r="B23" s="22" t="s">
        <v>64</v>
      </c>
      <c r="C23" s="36" t="s">
        <v>65</v>
      </c>
      <c r="D23" s="38" t="s">
        <v>66</v>
      </c>
      <c r="E23" s="39" t="s">
        <v>67</v>
      </c>
      <c r="F23" s="40" t="s">
        <v>68</v>
      </c>
      <c r="G23" s="42" t="s">
        <v>69</v>
      </c>
      <c r="H23" s="43" t="s">
        <v>71</v>
      </c>
    </row>
    <row r="24" ht="92.25" customHeight="1">
      <c r="A24" s="45" t="s">
        <v>73</v>
      </c>
      <c r="B24" s="29" t="s">
        <v>75</v>
      </c>
      <c r="C24" s="46" t="s">
        <v>77</v>
      </c>
      <c r="D24" s="38" t="s">
        <v>78</v>
      </c>
      <c r="E24" s="39" t="s">
        <v>79</v>
      </c>
      <c r="F24" s="40" t="s">
        <v>80</v>
      </c>
      <c r="G24" s="42" t="s">
        <v>81</v>
      </c>
      <c r="H24" s="43" t="s">
        <v>82</v>
      </c>
    </row>
    <row r="25" ht="78.0" customHeight="1">
      <c r="A25" s="35" t="s">
        <v>83</v>
      </c>
      <c r="B25" s="22" t="s">
        <v>19</v>
      </c>
      <c r="C25" s="36" t="s">
        <v>84</v>
      </c>
      <c r="D25" s="38" t="s">
        <v>85</v>
      </c>
      <c r="E25" s="39" t="s">
        <v>86</v>
      </c>
      <c r="F25" s="40" t="s">
        <v>87</v>
      </c>
      <c r="G25" s="42" t="s">
        <v>88</v>
      </c>
      <c r="H25" s="43" t="s">
        <v>89</v>
      </c>
    </row>
    <row r="26" ht="75.0" customHeight="1">
      <c r="A26" s="45" t="s">
        <v>90</v>
      </c>
      <c r="B26" s="29" t="s">
        <v>20</v>
      </c>
      <c r="C26" s="46" t="s">
        <v>91</v>
      </c>
      <c r="D26" s="38" t="s">
        <v>92</v>
      </c>
      <c r="E26" s="39" t="s">
        <v>93</v>
      </c>
      <c r="F26" s="40" t="s">
        <v>94</v>
      </c>
      <c r="G26" s="42" t="s">
        <v>95</v>
      </c>
      <c r="H26" s="43" t="s">
        <v>96</v>
      </c>
    </row>
    <row r="27" ht="15.75" customHeight="1"/>
    <row r="28" ht="21.75" customHeight="1">
      <c r="A28" s="47"/>
      <c r="B28" s="48"/>
      <c r="C28" s="48"/>
      <c r="D28" s="48"/>
      <c r="E28" s="48"/>
      <c r="F28" s="48"/>
      <c r="G28" s="48"/>
      <c r="H28" s="50"/>
    </row>
    <row r="29" ht="31.5" customHeight="1">
      <c r="A29" s="51" t="s">
        <v>101</v>
      </c>
      <c r="B29" s="48"/>
      <c r="C29" s="48"/>
      <c r="D29" s="48"/>
      <c r="E29" s="48"/>
      <c r="F29" s="48"/>
      <c r="G29" s="48"/>
      <c r="H29" s="50"/>
    </row>
    <row r="30" ht="52.5" customHeight="1">
      <c r="A30" s="52" t="s">
        <v>11</v>
      </c>
      <c r="B30" s="52" t="s">
        <v>102</v>
      </c>
      <c r="C30" s="52" t="s">
        <v>103</v>
      </c>
      <c r="D30" s="52" t="s">
        <v>63</v>
      </c>
      <c r="E30" s="52" t="s">
        <v>73</v>
      </c>
      <c r="F30" s="52" t="s">
        <v>83</v>
      </c>
      <c r="G30" s="52" t="s">
        <v>90</v>
      </c>
      <c r="H30" s="52" t="s">
        <v>105</v>
      </c>
    </row>
    <row r="31" ht="54.0" customHeight="1">
      <c r="A31" s="53" t="s">
        <v>108</v>
      </c>
      <c r="B31" s="54" t="s">
        <v>109</v>
      </c>
      <c r="C31" s="54" t="s">
        <v>110</v>
      </c>
      <c r="D31" s="53" t="s">
        <v>111</v>
      </c>
      <c r="E31" s="53" t="s">
        <v>111</v>
      </c>
      <c r="F31" s="53" t="s">
        <v>111</v>
      </c>
      <c r="G31" s="53" t="s">
        <v>113</v>
      </c>
      <c r="H31" s="55" t="s">
        <v>111</v>
      </c>
    </row>
    <row r="32" ht="50.25" customHeight="1">
      <c r="A32" s="56" t="s">
        <v>117</v>
      </c>
      <c r="B32" s="57" t="s">
        <v>118</v>
      </c>
      <c r="C32" s="57" t="s">
        <v>119</v>
      </c>
      <c r="D32" s="56" t="s">
        <v>120</v>
      </c>
      <c r="E32" s="56" t="s">
        <v>120</v>
      </c>
      <c r="F32" s="56" t="s">
        <v>111</v>
      </c>
      <c r="G32" s="56" t="s">
        <v>120</v>
      </c>
      <c r="H32" s="58" t="s">
        <v>120</v>
      </c>
    </row>
    <row r="33" ht="42.75" customHeight="1">
      <c r="A33" s="53" t="s">
        <v>121</v>
      </c>
      <c r="B33" s="54" t="s">
        <v>122</v>
      </c>
      <c r="C33" s="54" t="s">
        <v>124</v>
      </c>
      <c r="D33" s="53" t="s">
        <v>120</v>
      </c>
      <c r="E33" s="53" t="s">
        <v>111</v>
      </c>
      <c r="F33" s="53" t="s">
        <v>111</v>
      </c>
      <c r="G33" s="53" t="s">
        <v>111</v>
      </c>
      <c r="H33" s="55" t="s">
        <v>111</v>
      </c>
    </row>
    <row r="34" ht="48.75" customHeight="1">
      <c r="A34" s="59"/>
      <c r="B34" s="60"/>
      <c r="C34" s="61"/>
    </row>
    <row r="35" ht="19.5" customHeight="1"/>
    <row r="36" ht="39.75" customHeight="1"/>
    <row r="37" ht="39.75" customHeight="1">
      <c r="A37" s="62"/>
      <c r="B37" s="2"/>
      <c r="C37" s="2"/>
      <c r="D37" s="2"/>
      <c r="E37" s="2"/>
      <c r="F37" s="2"/>
      <c r="G37" s="2"/>
      <c r="H37" s="3"/>
    </row>
    <row r="38" ht="39.75" customHeight="1">
      <c r="A38" s="63"/>
      <c r="B38" s="63"/>
      <c r="C38" s="63"/>
      <c r="D38" s="63"/>
      <c r="E38" s="63"/>
      <c r="F38" s="63"/>
      <c r="G38" s="63"/>
      <c r="H38" s="63"/>
    </row>
    <row r="39" ht="15.75" customHeight="1">
      <c r="A39" s="64"/>
      <c r="B39" s="65"/>
      <c r="C39" s="65"/>
      <c r="D39" s="64"/>
      <c r="E39" s="64"/>
      <c r="F39" s="64"/>
      <c r="G39" s="64"/>
      <c r="H39" s="66"/>
    </row>
    <row r="40" ht="15.75" customHeight="1">
      <c r="A40" s="64"/>
      <c r="B40" s="65"/>
      <c r="C40" s="65"/>
      <c r="D40" s="64"/>
      <c r="E40" s="64"/>
      <c r="F40" s="64"/>
      <c r="G40" s="64"/>
      <c r="H40" s="66"/>
    </row>
    <row r="41" ht="15.75" customHeight="1">
      <c r="A41" s="64"/>
      <c r="B41" s="65"/>
      <c r="C41" s="65"/>
      <c r="D41" s="64"/>
      <c r="E41" s="64"/>
      <c r="F41" s="64"/>
      <c r="G41" s="64"/>
      <c r="H41" s="6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H1"/>
    <mergeCell ref="A2:H2"/>
    <mergeCell ref="A4:H4"/>
    <mergeCell ref="A5:H5"/>
    <mergeCell ref="A6:H6"/>
    <mergeCell ref="A7:H7"/>
    <mergeCell ref="A8:H8"/>
    <mergeCell ref="F18:H18"/>
    <mergeCell ref="A21:H21"/>
    <mergeCell ref="A28:H28"/>
    <mergeCell ref="A29:H29"/>
    <mergeCell ref="C34:H34"/>
    <mergeCell ref="A37:H37"/>
    <mergeCell ref="A9:H9"/>
    <mergeCell ref="A10:H10"/>
    <mergeCell ref="A13:H13"/>
    <mergeCell ref="A14:H14"/>
    <mergeCell ref="F15:H15"/>
    <mergeCell ref="F16:H16"/>
    <mergeCell ref="F17:H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6" t="s">
        <v>2</v>
      </c>
      <c r="B1" s="8"/>
      <c r="C1" s="8"/>
      <c r="D1" s="8"/>
      <c r="E1" s="8"/>
      <c r="F1" s="8"/>
      <c r="G1" s="8"/>
      <c r="H1" s="8"/>
      <c r="I1" s="8"/>
      <c r="J1" s="8"/>
      <c r="K1" s="8"/>
      <c r="L1" s="10"/>
    </row>
    <row r="2" ht="24.75" customHeight="1">
      <c r="A2" s="11" t="s">
        <v>8</v>
      </c>
      <c r="B2" s="8"/>
      <c r="C2" s="8"/>
      <c r="D2" s="8"/>
      <c r="E2" s="8"/>
      <c r="F2" s="8"/>
      <c r="G2" s="8"/>
      <c r="H2" s="8"/>
      <c r="I2" s="8"/>
      <c r="J2" s="8"/>
      <c r="K2" s="8"/>
      <c r="L2" s="10"/>
    </row>
    <row r="3" ht="7.5" customHeight="1"/>
    <row r="4" ht="50.25" customHeight="1">
      <c r="A4" s="12" t="s">
        <v>11</v>
      </c>
      <c r="B4" s="12" t="s">
        <v>12</v>
      </c>
      <c r="C4" s="12" t="s">
        <v>13</v>
      </c>
      <c r="D4" s="12" t="s">
        <v>14</v>
      </c>
      <c r="E4" s="12" t="s">
        <v>15</v>
      </c>
      <c r="F4" s="12" t="s">
        <v>16</v>
      </c>
      <c r="G4" s="12" t="s">
        <v>17</v>
      </c>
      <c r="H4" s="12" t="s">
        <v>18</v>
      </c>
      <c r="I4" s="12" t="s">
        <v>19</v>
      </c>
      <c r="J4" s="12" t="s">
        <v>20</v>
      </c>
      <c r="K4" s="12" t="s">
        <v>21</v>
      </c>
    </row>
    <row r="5" ht="42.0" customHeight="1">
      <c r="A5" s="14">
        <v>1.0</v>
      </c>
      <c r="B5" s="14" t="s">
        <v>24</v>
      </c>
      <c r="C5" s="14" t="s">
        <v>25</v>
      </c>
      <c r="D5" s="17" t="s">
        <v>26</v>
      </c>
      <c r="E5" s="17" t="s">
        <v>28</v>
      </c>
      <c r="F5" s="17" t="s">
        <v>28</v>
      </c>
      <c r="G5" s="30"/>
      <c r="H5" s="33"/>
      <c r="I5" s="30"/>
      <c r="J5" s="33"/>
      <c r="K5" s="30"/>
    </row>
    <row r="6" ht="176.25" customHeight="1">
      <c r="A6" s="19">
        <v>2.0</v>
      </c>
      <c r="B6" s="19" t="s">
        <v>24</v>
      </c>
      <c r="C6" s="19" t="s">
        <v>34</v>
      </c>
      <c r="D6" s="21" t="s">
        <v>35</v>
      </c>
      <c r="E6" s="21" t="s">
        <v>37</v>
      </c>
      <c r="F6" s="21" t="s">
        <v>38</v>
      </c>
      <c r="G6" s="27">
        <v>3.0</v>
      </c>
      <c r="H6" s="27">
        <v>3.0</v>
      </c>
      <c r="I6" s="27">
        <v>3.0</v>
      </c>
      <c r="J6" s="27">
        <v>4.0</v>
      </c>
      <c r="K6" s="30">
        <f t="shared" ref="K6:K38" si="1">AVERAGE(G6:J6)</f>
        <v>3.25</v>
      </c>
    </row>
    <row r="7" ht="131.25" customHeight="1">
      <c r="A7" s="14">
        <v>3.0</v>
      </c>
      <c r="B7" s="41" t="s">
        <v>24</v>
      </c>
      <c r="C7" s="41" t="s">
        <v>70</v>
      </c>
      <c r="D7" s="44" t="s">
        <v>72</v>
      </c>
      <c r="E7" s="44" t="s">
        <v>74</v>
      </c>
      <c r="F7" s="44" t="s">
        <v>76</v>
      </c>
      <c r="G7" s="27">
        <v>3.0</v>
      </c>
      <c r="H7" s="27">
        <v>3.0</v>
      </c>
      <c r="I7" s="27">
        <v>3.0</v>
      </c>
      <c r="J7" s="27">
        <v>4.0</v>
      </c>
      <c r="K7" s="30">
        <f t="shared" si="1"/>
        <v>3.25</v>
      </c>
    </row>
    <row r="8" ht="143.25" customHeight="1">
      <c r="A8" s="19">
        <v>4.0</v>
      </c>
      <c r="B8" s="19" t="s">
        <v>97</v>
      </c>
      <c r="C8" s="19" t="s">
        <v>25</v>
      </c>
      <c r="D8" s="21" t="s">
        <v>98</v>
      </c>
      <c r="E8" s="21" t="s">
        <v>99</v>
      </c>
      <c r="F8" s="21" t="s">
        <v>100</v>
      </c>
      <c r="G8" s="27">
        <v>4.0</v>
      </c>
      <c r="H8" s="27">
        <v>3.0</v>
      </c>
      <c r="I8" s="27">
        <v>4.0</v>
      </c>
      <c r="J8" s="27">
        <v>4.0</v>
      </c>
      <c r="K8" s="30">
        <f t="shared" si="1"/>
        <v>3.75</v>
      </c>
    </row>
    <row r="9" ht="166.5" customHeight="1">
      <c r="A9" s="14">
        <v>5.0</v>
      </c>
      <c r="B9" s="14" t="s">
        <v>97</v>
      </c>
      <c r="C9" s="14" t="s">
        <v>70</v>
      </c>
      <c r="D9" s="17" t="s">
        <v>104</v>
      </c>
      <c r="E9" s="17" t="s">
        <v>106</v>
      </c>
      <c r="F9" s="17" t="s">
        <v>107</v>
      </c>
      <c r="G9" s="27">
        <v>4.0</v>
      </c>
      <c r="H9" s="27">
        <v>3.0</v>
      </c>
      <c r="I9" s="27">
        <v>3.0</v>
      </c>
      <c r="J9" s="27">
        <v>4.0</v>
      </c>
      <c r="K9" s="30">
        <f t="shared" si="1"/>
        <v>3.5</v>
      </c>
    </row>
    <row r="10" ht="227.25" customHeight="1">
      <c r="A10" s="19">
        <v>6.0</v>
      </c>
      <c r="B10" s="19" t="s">
        <v>97</v>
      </c>
      <c r="C10" s="19" t="s">
        <v>112</v>
      </c>
      <c r="D10" s="21" t="s">
        <v>114</v>
      </c>
      <c r="E10" s="21" t="s">
        <v>115</v>
      </c>
      <c r="F10" s="21" t="s">
        <v>116</v>
      </c>
      <c r="G10" s="27">
        <v>3.0</v>
      </c>
      <c r="H10" s="27">
        <v>4.0</v>
      </c>
      <c r="I10" s="27">
        <v>3.0</v>
      </c>
      <c r="J10" s="27">
        <v>4.0</v>
      </c>
      <c r="K10" s="30">
        <f t="shared" si="1"/>
        <v>3.5</v>
      </c>
    </row>
    <row r="11" ht="141.0" customHeight="1">
      <c r="A11" s="14">
        <v>7.0</v>
      </c>
      <c r="B11" s="14" t="s">
        <v>123</v>
      </c>
      <c r="C11" s="14" t="s">
        <v>25</v>
      </c>
      <c r="D11" s="17" t="s">
        <v>125</v>
      </c>
      <c r="E11" s="17" t="s">
        <v>126</v>
      </c>
      <c r="F11" s="17" t="s">
        <v>127</v>
      </c>
      <c r="G11" s="49">
        <v>4.0</v>
      </c>
      <c r="H11" s="49">
        <v>3.0</v>
      </c>
      <c r="I11" s="49">
        <v>3.0</v>
      </c>
      <c r="J11" s="49">
        <v>4.0</v>
      </c>
      <c r="K11" s="30">
        <f t="shared" si="1"/>
        <v>3.5</v>
      </c>
    </row>
    <row r="12" ht="170.25" customHeight="1">
      <c r="A12" s="19">
        <v>8.0</v>
      </c>
      <c r="B12" s="19" t="s">
        <v>123</v>
      </c>
      <c r="C12" s="19" t="s">
        <v>70</v>
      </c>
      <c r="D12" s="21" t="s">
        <v>128</v>
      </c>
      <c r="E12" s="21" t="s">
        <v>129</v>
      </c>
      <c r="F12" s="21" t="s">
        <v>130</v>
      </c>
      <c r="G12" s="49">
        <v>4.0</v>
      </c>
      <c r="H12" s="49">
        <v>3.0</v>
      </c>
      <c r="I12" s="49">
        <v>3.0</v>
      </c>
      <c r="J12" s="49">
        <v>4.0</v>
      </c>
      <c r="K12" s="30">
        <f t="shared" si="1"/>
        <v>3.5</v>
      </c>
    </row>
    <row r="13" ht="143.25" customHeight="1">
      <c r="A13" s="14">
        <v>9.0</v>
      </c>
      <c r="B13" s="41" t="s">
        <v>131</v>
      </c>
      <c r="C13" s="41" t="s">
        <v>132</v>
      </c>
      <c r="D13" s="44" t="s">
        <v>133</v>
      </c>
      <c r="E13" s="44" t="s">
        <v>134</v>
      </c>
      <c r="F13" s="44" t="s">
        <v>135</v>
      </c>
      <c r="G13" s="49">
        <v>4.0</v>
      </c>
      <c r="H13" s="49">
        <v>3.0</v>
      </c>
      <c r="I13" s="49">
        <v>3.0</v>
      </c>
      <c r="J13" s="49">
        <v>4.0</v>
      </c>
      <c r="K13" s="30">
        <f t="shared" si="1"/>
        <v>3.5</v>
      </c>
    </row>
    <row r="14" ht="209.25" customHeight="1">
      <c r="A14" s="19">
        <v>10.0</v>
      </c>
      <c r="B14" s="19" t="s">
        <v>136</v>
      </c>
      <c r="C14" s="19" t="s">
        <v>25</v>
      </c>
      <c r="D14" s="21" t="s">
        <v>137</v>
      </c>
      <c r="E14" s="21" t="s">
        <v>138</v>
      </c>
      <c r="F14" s="21" t="s">
        <v>139</v>
      </c>
      <c r="G14" s="49">
        <v>4.0</v>
      </c>
      <c r="H14" s="49">
        <v>3.0</v>
      </c>
      <c r="I14" s="49">
        <v>3.0</v>
      </c>
      <c r="J14" s="49">
        <v>4.0</v>
      </c>
      <c r="K14" s="30">
        <f t="shared" si="1"/>
        <v>3.5</v>
      </c>
    </row>
    <row r="15" ht="177.75" customHeight="1">
      <c r="A15" s="14">
        <v>11.0</v>
      </c>
      <c r="B15" s="14" t="s">
        <v>140</v>
      </c>
      <c r="C15" s="14" t="s">
        <v>25</v>
      </c>
      <c r="D15" s="17" t="s">
        <v>141</v>
      </c>
      <c r="E15" s="17" t="s">
        <v>142</v>
      </c>
      <c r="F15" s="17" t="s">
        <v>143</v>
      </c>
      <c r="G15" s="49">
        <v>4.0</v>
      </c>
      <c r="H15" s="49">
        <v>3.0</v>
      </c>
      <c r="I15" s="49">
        <v>3.0</v>
      </c>
      <c r="J15" s="49">
        <v>4.0</v>
      </c>
      <c r="K15" s="30">
        <f t="shared" si="1"/>
        <v>3.5</v>
      </c>
    </row>
    <row r="16" ht="153.75" customHeight="1">
      <c r="A16" s="19">
        <v>12.0</v>
      </c>
      <c r="B16" s="19" t="s">
        <v>140</v>
      </c>
      <c r="C16" s="19" t="s">
        <v>144</v>
      </c>
      <c r="D16" s="21" t="s">
        <v>145</v>
      </c>
      <c r="E16" s="21" t="s">
        <v>146</v>
      </c>
      <c r="F16" s="21" t="s">
        <v>147</v>
      </c>
      <c r="G16" s="49">
        <v>4.0</v>
      </c>
      <c r="H16" s="49">
        <v>3.0</v>
      </c>
      <c r="I16" s="49">
        <v>3.0</v>
      </c>
      <c r="J16" s="49">
        <v>4.0</v>
      </c>
      <c r="K16" s="30">
        <f t="shared" si="1"/>
        <v>3.5</v>
      </c>
    </row>
    <row r="17" ht="192.75" customHeight="1">
      <c r="A17" s="14">
        <v>13.0</v>
      </c>
      <c r="B17" s="41" t="s">
        <v>140</v>
      </c>
      <c r="C17" s="41" t="s">
        <v>148</v>
      </c>
      <c r="D17" s="44" t="s">
        <v>149</v>
      </c>
      <c r="E17" s="44" t="s">
        <v>150</v>
      </c>
      <c r="F17" s="44" t="s">
        <v>151</v>
      </c>
      <c r="G17" s="49">
        <v>4.0</v>
      </c>
      <c r="H17" s="49">
        <v>3.0</v>
      </c>
      <c r="I17" s="49">
        <v>3.0</v>
      </c>
      <c r="J17" s="49">
        <v>4.0</v>
      </c>
      <c r="K17" s="30">
        <f t="shared" si="1"/>
        <v>3.5</v>
      </c>
    </row>
    <row r="18" ht="201.75" customHeight="1">
      <c r="A18" s="19">
        <v>14.0</v>
      </c>
      <c r="B18" s="19" t="s">
        <v>152</v>
      </c>
      <c r="C18" s="19" t="s">
        <v>25</v>
      </c>
      <c r="D18" s="21" t="s">
        <v>153</v>
      </c>
      <c r="E18" s="21" t="s">
        <v>154</v>
      </c>
      <c r="F18" s="21" t="s">
        <v>155</v>
      </c>
      <c r="G18" s="49">
        <v>4.0</v>
      </c>
      <c r="H18" s="49">
        <v>3.0</v>
      </c>
      <c r="I18" s="49">
        <v>3.0</v>
      </c>
      <c r="J18" s="49">
        <v>4.0</v>
      </c>
      <c r="K18" s="30">
        <f t="shared" si="1"/>
        <v>3.5</v>
      </c>
    </row>
    <row r="19" ht="171.75" customHeight="1">
      <c r="A19" s="14">
        <v>15.0</v>
      </c>
      <c r="B19" s="14" t="s">
        <v>152</v>
      </c>
      <c r="C19" s="14" t="s">
        <v>70</v>
      </c>
      <c r="D19" s="17" t="s">
        <v>156</v>
      </c>
      <c r="E19" s="17" t="s">
        <v>157</v>
      </c>
      <c r="F19" s="17" t="s">
        <v>158</v>
      </c>
      <c r="G19" s="49">
        <v>4.0</v>
      </c>
      <c r="H19" s="49">
        <v>3.0</v>
      </c>
      <c r="I19" s="49">
        <v>3.0</v>
      </c>
      <c r="J19" s="49">
        <v>4.0</v>
      </c>
      <c r="K19" s="30">
        <f t="shared" si="1"/>
        <v>3.5</v>
      </c>
    </row>
    <row r="20" ht="168.75" customHeight="1">
      <c r="A20" s="19">
        <v>16.0</v>
      </c>
      <c r="B20" s="19" t="s">
        <v>152</v>
      </c>
      <c r="C20" s="19" t="s">
        <v>112</v>
      </c>
      <c r="D20" s="21" t="s">
        <v>159</v>
      </c>
      <c r="E20" s="21" t="s">
        <v>160</v>
      </c>
      <c r="F20" s="21" t="s">
        <v>161</v>
      </c>
      <c r="G20" s="49">
        <v>4.0</v>
      </c>
      <c r="H20" s="49">
        <v>3.0</v>
      </c>
      <c r="I20" s="49">
        <v>3.0</v>
      </c>
      <c r="J20" s="49">
        <v>4.0</v>
      </c>
      <c r="K20" s="30">
        <f t="shared" si="1"/>
        <v>3.5</v>
      </c>
    </row>
    <row r="21" ht="209.25" customHeight="1">
      <c r="A21" s="14">
        <v>17.0</v>
      </c>
      <c r="B21" s="41" t="s">
        <v>162</v>
      </c>
      <c r="C21" s="41" t="s">
        <v>70</v>
      </c>
      <c r="D21" s="44" t="s">
        <v>163</v>
      </c>
      <c r="E21" s="44" t="s">
        <v>164</v>
      </c>
      <c r="F21" s="44" t="s">
        <v>165</v>
      </c>
      <c r="G21" s="49">
        <v>4.0</v>
      </c>
      <c r="H21" s="49">
        <v>3.0</v>
      </c>
      <c r="I21" s="49">
        <v>3.0</v>
      </c>
      <c r="J21" s="49">
        <v>4.0</v>
      </c>
      <c r="K21" s="30">
        <f t="shared" si="1"/>
        <v>3.5</v>
      </c>
    </row>
    <row r="22" ht="128.25" customHeight="1">
      <c r="A22" s="19">
        <v>18.0</v>
      </c>
      <c r="B22" s="72" t="s">
        <v>162</v>
      </c>
      <c r="C22" s="72" t="s">
        <v>112</v>
      </c>
      <c r="D22" s="73" t="s">
        <v>166</v>
      </c>
      <c r="E22" s="73" t="s">
        <v>167</v>
      </c>
      <c r="F22" s="73" t="s">
        <v>168</v>
      </c>
      <c r="G22" s="49">
        <v>4.0</v>
      </c>
      <c r="H22" s="49">
        <v>3.0</v>
      </c>
      <c r="I22" s="49">
        <v>3.0</v>
      </c>
      <c r="J22" s="49">
        <v>4.0</v>
      </c>
      <c r="K22" s="30">
        <f t="shared" si="1"/>
        <v>3.5</v>
      </c>
    </row>
    <row r="23" ht="186.75" customHeight="1">
      <c r="A23" s="14">
        <v>19.0</v>
      </c>
      <c r="B23" s="41" t="s">
        <v>169</v>
      </c>
      <c r="C23" s="41" t="s">
        <v>25</v>
      </c>
      <c r="D23" s="44" t="s">
        <v>170</v>
      </c>
      <c r="E23" s="44" t="s">
        <v>171</v>
      </c>
      <c r="F23" s="44" t="s">
        <v>172</v>
      </c>
      <c r="G23" s="49">
        <v>4.0</v>
      </c>
      <c r="H23" s="49">
        <v>3.0</v>
      </c>
      <c r="I23" s="49">
        <v>3.0</v>
      </c>
      <c r="J23" s="49">
        <v>4.0</v>
      </c>
      <c r="K23" s="30">
        <f t="shared" si="1"/>
        <v>3.5</v>
      </c>
    </row>
    <row r="24" ht="162.0" customHeight="1">
      <c r="A24" s="19">
        <v>20.0</v>
      </c>
      <c r="B24" s="19" t="s">
        <v>169</v>
      </c>
      <c r="C24" s="19" t="s">
        <v>112</v>
      </c>
      <c r="D24" s="21" t="s">
        <v>173</v>
      </c>
      <c r="E24" s="21" t="s">
        <v>174</v>
      </c>
      <c r="F24" s="21" t="s">
        <v>175</v>
      </c>
      <c r="G24" s="49">
        <v>4.0</v>
      </c>
      <c r="H24" s="49">
        <v>3.0</v>
      </c>
      <c r="I24" s="49">
        <v>3.0</v>
      </c>
      <c r="J24" s="49">
        <v>4.0</v>
      </c>
      <c r="K24" s="30">
        <f t="shared" si="1"/>
        <v>3.5</v>
      </c>
    </row>
    <row r="25" ht="226.5" customHeight="1">
      <c r="A25" s="14">
        <v>21.0</v>
      </c>
      <c r="B25" s="14" t="s">
        <v>176</v>
      </c>
      <c r="C25" s="14" t="s">
        <v>25</v>
      </c>
      <c r="D25" s="17" t="s">
        <v>177</v>
      </c>
      <c r="E25" s="17" t="s">
        <v>178</v>
      </c>
      <c r="F25" s="17" t="s">
        <v>179</v>
      </c>
      <c r="G25" s="49">
        <v>4.0</v>
      </c>
      <c r="H25" s="49">
        <v>3.0</v>
      </c>
      <c r="I25" s="49">
        <v>3.0</v>
      </c>
      <c r="J25" s="49">
        <v>4.0</v>
      </c>
      <c r="K25" s="30">
        <f t="shared" si="1"/>
        <v>3.5</v>
      </c>
    </row>
    <row r="26" ht="186.75" customHeight="1">
      <c r="A26" s="19">
        <v>22.0</v>
      </c>
      <c r="B26" s="19" t="s">
        <v>180</v>
      </c>
      <c r="C26" s="19" t="s">
        <v>25</v>
      </c>
      <c r="D26" s="21" t="s">
        <v>181</v>
      </c>
      <c r="E26" s="21" t="s">
        <v>182</v>
      </c>
      <c r="F26" s="21" t="s">
        <v>183</v>
      </c>
      <c r="G26" s="49">
        <v>4.0</v>
      </c>
      <c r="H26" s="49">
        <v>3.0</v>
      </c>
      <c r="I26" s="49">
        <v>3.0</v>
      </c>
      <c r="J26" s="49">
        <v>4.0</v>
      </c>
      <c r="K26" s="30">
        <f t="shared" si="1"/>
        <v>3.5</v>
      </c>
    </row>
    <row r="27" ht="175.5" customHeight="1">
      <c r="A27" s="14">
        <v>23.0</v>
      </c>
      <c r="B27" s="41" t="s">
        <v>184</v>
      </c>
      <c r="C27" s="41" t="s">
        <v>70</v>
      </c>
      <c r="D27" s="44" t="s">
        <v>185</v>
      </c>
      <c r="E27" s="44" t="s">
        <v>186</v>
      </c>
      <c r="F27" s="44" t="s">
        <v>187</v>
      </c>
      <c r="G27" s="49">
        <v>4.0</v>
      </c>
      <c r="H27" s="49">
        <v>3.0</v>
      </c>
      <c r="I27" s="49">
        <v>3.0</v>
      </c>
      <c r="J27" s="49">
        <v>4.0</v>
      </c>
      <c r="K27" s="30">
        <f t="shared" si="1"/>
        <v>3.5</v>
      </c>
    </row>
    <row r="28" ht="153.75" customHeight="1">
      <c r="A28" s="19">
        <v>24.0</v>
      </c>
      <c r="B28" s="19" t="s">
        <v>188</v>
      </c>
      <c r="C28" s="19" t="s">
        <v>25</v>
      </c>
      <c r="D28" s="21" t="s">
        <v>189</v>
      </c>
      <c r="E28" s="21" t="s">
        <v>190</v>
      </c>
      <c r="F28" s="21" t="s">
        <v>191</v>
      </c>
      <c r="G28" s="49">
        <v>4.0</v>
      </c>
      <c r="H28" s="49">
        <v>3.0</v>
      </c>
      <c r="I28" s="49">
        <v>3.0</v>
      </c>
      <c r="J28" s="49">
        <v>4.0</v>
      </c>
      <c r="K28" s="30">
        <f t="shared" si="1"/>
        <v>3.5</v>
      </c>
    </row>
    <row r="29" ht="216.0" customHeight="1">
      <c r="A29" s="14">
        <v>25.0</v>
      </c>
      <c r="B29" s="41" t="s">
        <v>192</v>
      </c>
      <c r="C29" s="41" t="s">
        <v>25</v>
      </c>
      <c r="D29" s="44" t="s">
        <v>193</v>
      </c>
      <c r="E29" s="44" t="s">
        <v>194</v>
      </c>
      <c r="F29" s="44" t="s">
        <v>195</v>
      </c>
      <c r="G29" s="49">
        <v>4.0</v>
      </c>
      <c r="H29" s="49">
        <v>3.0</v>
      </c>
      <c r="I29" s="49">
        <v>3.0</v>
      </c>
      <c r="J29" s="49">
        <v>4.0</v>
      </c>
      <c r="K29" s="30">
        <f t="shared" si="1"/>
        <v>3.5</v>
      </c>
    </row>
    <row r="30" ht="172.5" customHeight="1">
      <c r="A30" s="19">
        <v>26.0</v>
      </c>
      <c r="B30" s="72" t="s">
        <v>192</v>
      </c>
      <c r="C30" s="72" t="s">
        <v>70</v>
      </c>
      <c r="D30" s="73" t="s">
        <v>196</v>
      </c>
      <c r="E30" s="73" t="s">
        <v>197</v>
      </c>
      <c r="F30" s="73" t="s">
        <v>198</v>
      </c>
      <c r="G30" s="49">
        <v>4.0</v>
      </c>
      <c r="H30" s="49">
        <v>3.0</v>
      </c>
      <c r="I30" s="49">
        <v>3.0</v>
      </c>
      <c r="J30" s="49">
        <v>4.0</v>
      </c>
      <c r="K30" s="30">
        <f t="shared" si="1"/>
        <v>3.5</v>
      </c>
    </row>
    <row r="31" ht="188.25" customHeight="1">
      <c r="A31" s="14">
        <v>27.0</v>
      </c>
      <c r="B31" s="41" t="s">
        <v>192</v>
      </c>
      <c r="C31" s="41" t="s">
        <v>112</v>
      </c>
      <c r="D31" s="44" t="s">
        <v>199</v>
      </c>
      <c r="E31" s="44" t="s">
        <v>200</v>
      </c>
      <c r="F31" s="44" t="s">
        <v>201</v>
      </c>
      <c r="G31" s="49">
        <v>4.0</v>
      </c>
      <c r="H31" s="49">
        <v>3.0</v>
      </c>
      <c r="I31" s="49">
        <v>3.0</v>
      </c>
      <c r="J31" s="49">
        <v>4.0</v>
      </c>
      <c r="K31" s="30">
        <f t="shared" si="1"/>
        <v>3.5</v>
      </c>
    </row>
    <row r="32" ht="207.75" customHeight="1">
      <c r="A32" s="19">
        <v>28.0</v>
      </c>
      <c r="B32" s="72" t="s">
        <v>202</v>
      </c>
      <c r="C32" s="72" t="s">
        <v>25</v>
      </c>
      <c r="D32" s="73" t="s">
        <v>203</v>
      </c>
      <c r="E32" s="73" t="s">
        <v>204</v>
      </c>
      <c r="F32" s="73" t="s">
        <v>205</v>
      </c>
      <c r="G32" s="49">
        <v>4.0</v>
      </c>
      <c r="H32" s="49">
        <v>3.0</v>
      </c>
      <c r="I32" s="49">
        <v>3.0</v>
      </c>
      <c r="J32" s="49">
        <v>4.0</v>
      </c>
      <c r="K32" s="30">
        <f t="shared" si="1"/>
        <v>3.5</v>
      </c>
    </row>
    <row r="33" ht="174.0" customHeight="1">
      <c r="A33" s="14">
        <v>29.0</v>
      </c>
      <c r="B33" s="41" t="s">
        <v>202</v>
      </c>
      <c r="C33" s="41" t="s">
        <v>70</v>
      </c>
      <c r="D33" s="44" t="s">
        <v>206</v>
      </c>
      <c r="E33" s="44" t="s">
        <v>207</v>
      </c>
      <c r="F33" s="44" t="s">
        <v>208</v>
      </c>
      <c r="G33" s="49">
        <v>4.0</v>
      </c>
      <c r="H33" s="49">
        <v>3.0</v>
      </c>
      <c r="I33" s="49">
        <v>3.0</v>
      </c>
      <c r="J33" s="49">
        <v>4.0</v>
      </c>
      <c r="K33" s="30">
        <f t="shared" si="1"/>
        <v>3.5</v>
      </c>
    </row>
    <row r="34" ht="195.75" customHeight="1">
      <c r="A34" s="19">
        <v>30.0</v>
      </c>
      <c r="B34" s="19" t="s">
        <v>202</v>
      </c>
      <c r="C34" s="19" t="s">
        <v>112</v>
      </c>
      <c r="D34" s="21" t="s">
        <v>209</v>
      </c>
      <c r="E34" s="21" t="s">
        <v>210</v>
      </c>
      <c r="F34" s="21" t="s">
        <v>211</v>
      </c>
      <c r="G34" s="49">
        <v>4.0</v>
      </c>
      <c r="H34" s="49">
        <v>3.0</v>
      </c>
      <c r="I34" s="49">
        <v>3.0</v>
      </c>
      <c r="J34" s="49">
        <v>4.0</v>
      </c>
      <c r="K34" s="30">
        <f t="shared" si="1"/>
        <v>3.5</v>
      </c>
    </row>
    <row r="35" ht="212.25" customHeight="1">
      <c r="A35" s="14">
        <v>31.0</v>
      </c>
      <c r="B35" s="41" t="s">
        <v>212</v>
      </c>
      <c r="C35" s="41" t="s">
        <v>25</v>
      </c>
      <c r="D35" s="44" t="s">
        <v>213</v>
      </c>
      <c r="E35" s="44" t="s">
        <v>214</v>
      </c>
      <c r="F35" s="44" t="s">
        <v>215</v>
      </c>
      <c r="G35" s="49">
        <v>4.0</v>
      </c>
      <c r="H35" s="49">
        <v>3.0</v>
      </c>
      <c r="I35" s="49">
        <v>3.0</v>
      </c>
      <c r="J35" s="49">
        <v>4.0</v>
      </c>
      <c r="K35" s="30">
        <f t="shared" si="1"/>
        <v>3.5</v>
      </c>
    </row>
    <row r="36" ht="190.5" customHeight="1">
      <c r="A36" s="19">
        <v>32.0</v>
      </c>
      <c r="B36" s="74">
        <v>46197.0</v>
      </c>
      <c r="C36" s="76">
        <v>0.5</v>
      </c>
      <c r="D36" s="73" t="s">
        <v>216</v>
      </c>
      <c r="E36" s="78" t="s">
        <v>217</v>
      </c>
      <c r="F36" s="78" t="s">
        <v>218</v>
      </c>
      <c r="G36" s="49">
        <v>4.0</v>
      </c>
      <c r="H36" s="49">
        <v>3.0</v>
      </c>
      <c r="I36" s="49">
        <v>3.0</v>
      </c>
      <c r="J36" s="49">
        <v>4.0</v>
      </c>
      <c r="K36" s="30">
        <f t="shared" si="1"/>
        <v>3.5</v>
      </c>
    </row>
    <row r="37" ht="177.75" customHeight="1">
      <c r="A37" s="81">
        <v>33.0</v>
      </c>
      <c r="B37" s="83">
        <v>46197.0</v>
      </c>
      <c r="C37" s="85">
        <v>0.666666666666667</v>
      </c>
      <c r="D37" s="86" t="s">
        <v>219</v>
      </c>
      <c r="E37" s="87" t="s">
        <v>220</v>
      </c>
      <c r="F37" s="87" t="s">
        <v>221</v>
      </c>
      <c r="G37" s="49">
        <v>4.0</v>
      </c>
      <c r="H37" s="49">
        <v>3.0</v>
      </c>
      <c r="I37" s="49">
        <v>3.0</v>
      </c>
      <c r="J37" s="49">
        <v>4.0</v>
      </c>
      <c r="K37" s="67">
        <f t="shared" si="1"/>
        <v>3.5</v>
      </c>
    </row>
    <row r="38" ht="143.25" customHeight="1">
      <c r="A38" s="88">
        <v>34.0</v>
      </c>
      <c r="B38" s="89">
        <v>46198.0</v>
      </c>
      <c r="C38" s="76">
        <v>0.5</v>
      </c>
      <c r="D38" s="78" t="s">
        <v>222</v>
      </c>
      <c r="E38" s="78" t="s">
        <v>223</v>
      </c>
      <c r="F38" s="78" t="s">
        <v>224</v>
      </c>
      <c r="G38" s="49">
        <v>4.0</v>
      </c>
      <c r="H38" s="49">
        <v>3.0</v>
      </c>
      <c r="I38" s="49">
        <v>3.0</v>
      </c>
      <c r="J38" s="49">
        <v>4.0</v>
      </c>
      <c r="K38" s="68">
        <f t="shared" si="1"/>
        <v>3.5</v>
      </c>
    </row>
    <row r="39" ht="90.0" customHeight="1">
      <c r="A39" s="69"/>
      <c r="B39" s="69"/>
      <c r="C39" s="69"/>
      <c r="D39" s="90"/>
      <c r="E39" s="90"/>
      <c r="F39" s="91" t="s">
        <v>225</v>
      </c>
      <c r="G39" s="70">
        <f>SUM(G6:G38)</f>
        <v>129</v>
      </c>
      <c r="H39" s="71">
        <f>SUM(H5:H38)</f>
        <v>100</v>
      </c>
      <c r="I39" s="70">
        <f>SUM(I6:I38)</f>
        <v>100</v>
      </c>
      <c r="J39" s="71">
        <f t="shared" ref="J39:K39" si="2">SUM(J5:J38)</f>
        <v>132</v>
      </c>
      <c r="K39" s="70">
        <f t="shared" si="2"/>
        <v>115.25</v>
      </c>
    </row>
    <row r="40" ht="152.25" customHeight="1">
      <c r="A40" s="69"/>
      <c r="B40" s="69"/>
      <c r="C40" s="69"/>
      <c r="D40" s="90"/>
      <c r="E40" s="90"/>
      <c r="F40" s="91" t="s">
        <v>226</v>
      </c>
      <c r="G40" s="70">
        <f t="shared" ref="G40:K40" si="3">ROUND(AVERAGE(G6:G38), 2)</f>
        <v>3.91</v>
      </c>
      <c r="H40" s="70">
        <f t="shared" si="3"/>
        <v>3.03</v>
      </c>
      <c r="I40" s="70">
        <f t="shared" si="3"/>
        <v>3.03</v>
      </c>
      <c r="J40" s="70">
        <f t="shared" si="3"/>
        <v>4</v>
      </c>
      <c r="K40" s="70">
        <f t="shared" si="3"/>
        <v>3.49</v>
      </c>
    </row>
    <row r="41" ht="57.75" customHeight="1">
      <c r="A41" s="69"/>
      <c r="B41" s="69"/>
      <c r="C41" s="69"/>
      <c r="D41" s="90"/>
      <c r="E41" s="90"/>
      <c r="F41" s="91" t="s">
        <v>227</v>
      </c>
      <c r="G41" s="70">
        <f t="shared" ref="G41:K41" si="4">ROUND(_xlfn.STDEV.S(G6:G38),2)</f>
        <v>0.29</v>
      </c>
      <c r="H41" s="70">
        <f t="shared" si="4"/>
        <v>0.17</v>
      </c>
      <c r="I41" s="70">
        <f t="shared" si="4"/>
        <v>0.17</v>
      </c>
      <c r="J41" s="70">
        <f t="shared" si="4"/>
        <v>0</v>
      </c>
      <c r="K41" s="70">
        <f t="shared" si="4"/>
        <v>0.08</v>
      </c>
    </row>
    <row r="42" ht="54.75" customHeight="1">
      <c r="A42" s="69"/>
      <c r="B42" s="69"/>
      <c r="C42" s="69"/>
      <c r="D42" s="90"/>
      <c r="E42" s="90"/>
      <c r="F42" s="92" t="s">
        <v>228</v>
      </c>
      <c r="G42" s="70" t="str">
        <f t="shared" ref="G42:K42" si="5">TEXT(AVERAGE(G6:G38),"0.00")&amp;" ± "&amp;TEXT(_xlfn.STDEV.S(G6:G38),"0.00")</f>
        <v>3,91 ± 0,29</v>
      </c>
      <c r="H42" s="70" t="str">
        <f t="shared" si="5"/>
        <v>3,03 ± 0,17</v>
      </c>
      <c r="I42" s="70" t="str">
        <f t="shared" si="5"/>
        <v>3,03 ± 0,17</v>
      </c>
      <c r="J42" s="70" t="str">
        <f t="shared" si="5"/>
        <v>4,00 ± 0,00</v>
      </c>
      <c r="K42" s="70" t="str">
        <f t="shared" si="5"/>
        <v>3,49 ± 0,08</v>
      </c>
    </row>
    <row r="43" ht="56.25" customHeight="1">
      <c r="A43" s="69"/>
      <c r="B43" s="69"/>
      <c r="C43" s="69"/>
      <c r="D43" s="90"/>
      <c r="E43" s="90"/>
      <c r="F43" s="90"/>
      <c r="G43" s="70"/>
      <c r="H43" s="71"/>
      <c r="I43" s="70"/>
      <c r="J43" s="71"/>
      <c r="K43" s="70"/>
    </row>
    <row r="44" ht="60.0" customHeight="1">
      <c r="A44" s="69"/>
      <c r="B44" s="69"/>
      <c r="C44" s="69"/>
      <c r="D44" s="90"/>
      <c r="E44" s="90"/>
      <c r="F44" s="90"/>
      <c r="G44" s="70"/>
      <c r="H44" s="71"/>
      <c r="I44" s="70"/>
      <c r="J44" s="71"/>
      <c r="K44" s="70"/>
    </row>
    <row r="45" ht="59.25" customHeight="1">
      <c r="A45" s="69"/>
      <c r="B45" s="69"/>
      <c r="C45" s="69"/>
      <c r="D45" s="90"/>
      <c r="E45" s="90"/>
      <c r="F45" s="90"/>
      <c r="G45" s="70"/>
      <c r="H45" s="71"/>
      <c r="I45" s="70"/>
      <c r="J45" s="71"/>
      <c r="K45" s="70"/>
    </row>
    <row r="46" ht="58.5" customHeight="1">
      <c r="A46" s="69"/>
      <c r="B46" s="69"/>
      <c r="C46" s="69"/>
      <c r="D46" s="90"/>
      <c r="E46" s="90"/>
      <c r="F46" s="90"/>
      <c r="G46" s="70"/>
      <c r="H46" s="71"/>
      <c r="I46" s="70"/>
      <c r="J46" s="71"/>
      <c r="K46" s="70"/>
    </row>
    <row r="47" ht="52.5" customHeight="1">
      <c r="A47" s="69"/>
      <c r="B47" s="69"/>
      <c r="C47" s="69"/>
      <c r="D47" s="90"/>
      <c r="E47" s="90"/>
      <c r="F47" s="90"/>
      <c r="G47" s="70"/>
      <c r="H47" s="71"/>
      <c r="I47" s="70"/>
      <c r="J47" s="71"/>
      <c r="K47" s="70"/>
    </row>
    <row r="48" ht="131.25" customHeight="1">
      <c r="A48" s="69"/>
      <c r="B48" s="69"/>
      <c r="C48" s="69"/>
      <c r="D48" s="90"/>
      <c r="E48" s="90"/>
      <c r="F48" s="90"/>
      <c r="G48" s="70"/>
      <c r="H48" s="71"/>
      <c r="I48" s="70"/>
      <c r="J48" s="71"/>
      <c r="K48" s="70"/>
    </row>
    <row r="49" ht="147.0" customHeight="1">
      <c r="A49" s="69"/>
      <c r="B49" s="69"/>
      <c r="C49" s="69"/>
      <c r="D49" s="90"/>
      <c r="E49" s="90"/>
      <c r="F49" s="90"/>
      <c r="G49" s="70"/>
      <c r="H49" s="71"/>
      <c r="I49" s="70"/>
      <c r="J49" s="71"/>
      <c r="K49" s="70"/>
    </row>
    <row r="50" ht="152.25" customHeight="1">
      <c r="A50" s="69"/>
      <c r="B50" s="69"/>
      <c r="C50" s="69"/>
      <c r="D50" s="90"/>
      <c r="E50" s="90"/>
      <c r="F50" s="90"/>
      <c r="G50" s="70"/>
      <c r="H50" s="71"/>
      <c r="I50" s="70"/>
      <c r="J50" s="71"/>
      <c r="K50" s="70"/>
    </row>
    <row r="51" ht="149.25" customHeight="1">
      <c r="A51" s="69"/>
      <c r="B51" s="69"/>
      <c r="C51" s="69"/>
      <c r="D51" s="90"/>
      <c r="E51" s="90"/>
      <c r="F51" s="90"/>
      <c r="G51" s="70"/>
      <c r="H51" s="71"/>
      <c r="I51" s="70"/>
      <c r="J51" s="71"/>
      <c r="K51" s="70"/>
    </row>
    <row r="52" ht="121.5" customHeight="1">
      <c r="A52" s="69"/>
      <c r="B52" s="69"/>
      <c r="C52" s="69"/>
      <c r="D52" s="90"/>
      <c r="E52" s="90"/>
      <c r="F52" s="90"/>
      <c r="G52" s="70"/>
      <c r="H52" s="71"/>
      <c r="I52" s="70"/>
      <c r="J52" s="71"/>
      <c r="K52" s="70"/>
    </row>
    <row r="53" ht="125.25" customHeight="1">
      <c r="A53" s="69"/>
      <c r="B53" s="69"/>
      <c r="C53" s="69"/>
      <c r="D53" s="90"/>
      <c r="E53" s="90"/>
      <c r="F53" s="90"/>
      <c r="G53" s="70"/>
      <c r="H53" s="71"/>
      <c r="I53" s="70"/>
      <c r="J53" s="71"/>
      <c r="K53" s="70"/>
    </row>
    <row r="54" ht="126.0" customHeight="1">
      <c r="A54" s="69"/>
      <c r="B54" s="69"/>
      <c r="C54" s="69"/>
      <c r="D54" s="90"/>
      <c r="E54" s="90"/>
      <c r="F54" s="90"/>
      <c r="G54" s="70"/>
      <c r="H54" s="71"/>
      <c r="I54" s="70"/>
      <c r="J54" s="71"/>
      <c r="K54" s="70"/>
    </row>
    <row r="55" ht="129.0" customHeight="1">
      <c r="A55" s="69"/>
      <c r="B55" s="69"/>
      <c r="C55" s="69"/>
      <c r="D55" s="90"/>
      <c r="E55" s="90"/>
      <c r="F55" s="90"/>
      <c r="G55" s="70"/>
      <c r="H55" s="71"/>
      <c r="I55" s="70"/>
      <c r="J55" s="71"/>
      <c r="K55" s="70"/>
    </row>
    <row r="56" ht="166.5" customHeight="1">
      <c r="A56" s="69"/>
      <c r="B56" s="69"/>
      <c r="C56" s="69"/>
      <c r="D56" s="90"/>
      <c r="E56" s="90"/>
      <c r="F56" s="90"/>
      <c r="G56" s="70"/>
      <c r="H56" s="71"/>
      <c r="I56" s="70"/>
      <c r="J56" s="71"/>
      <c r="K56" s="70"/>
    </row>
    <row r="57" ht="117.75" customHeight="1">
      <c r="A57" s="69"/>
      <c r="B57" s="69"/>
      <c r="C57" s="69"/>
      <c r="D57" s="90"/>
      <c r="E57" s="90"/>
      <c r="F57" s="90"/>
      <c r="G57" s="70"/>
      <c r="H57" s="71"/>
      <c r="I57" s="70"/>
      <c r="J57" s="71"/>
      <c r="K57" s="70"/>
    </row>
    <row r="58" ht="123.0" customHeight="1">
      <c r="A58" s="69"/>
      <c r="B58" s="69"/>
      <c r="C58" s="69"/>
      <c r="D58" s="90"/>
      <c r="E58" s="90"/>
      <c r="F58" s="90"/>
      <c r="G58" s="70"/>
      <c r="H58" s="71"/>
      <c r="I58" s="70"/>
      <c r="J58" s="71"/>
      <c r="K58" s="70"/>
    </row>
    <row r="59" ht="121.5" customHeight="1">
      <c r="A59" s="69"/>
      <c r="B59" s="69"/>
      <c r="C59" s="69"/>
      <c r="D59" s="90"/>
      <c r="E59" s="90"/>
      <c r="F59" s="90"/>
      <c r="G59" s="70"/>
      <c r="H59" s="71"/>
      <c r="I59" s="70"/>
      <c r="J59" s="71"/>
      <c r="K59" s="70"/>
    </row>
    <row r="60" ht="140.25" customHeight="1">
      <c r="A60" s="69"/>
      <c r="B60" s="69"/>
      <c r="C60" s="69"/>
      <c r="D60" s="90"/>
      <c r="E60" s="90"/>
      <c r="F60" s="90"/>
      <c r="G60" s="70"/>
      <c r="H60" s="71"/>
      <c r="I60" s="70"/>
      <c r="J60" s="71"/>
      <c r="K60" s="70"/>
    </row>
    <row r="61" ht="142.5" customHeight="1">
      <c r="A61" s="69"/>
      <c r="B61" s="69"/>
      <c r="C61" s="69"/>
      <c r="D61" s="90"/>
      <c r="E61" s="90"/>
      <c r="F61" s="90"/>
      <c r="G61" s="70"/>
      <c r="H61" s="71"/>
      <c r="I61" s="70"/>
      <c r="J61" s="71"/>
      <c r="K61" s="70"/>
    </row>
    <row r="62" ht="139.5" customHeight="1">
      <c r="A62" s="69"/>
      <c r="B62" s="69"/>
      <c r="C62" s="69"/>
      <c r="D62" s="90"/>
      <c r="E62" s="90"/>
      <c r="F62" s="90"/>
      <c r="G62" s="70"/>
      <c r="H62" s="71"/>
      <c r="I62" s="70"/>
      <c r="J62" s="71"/>
      <c r="K62" s="70"/>
    </row>
    <row r="63" ht="124.5" customHeight="1">
      <c r="A63" s="69"/>
      <c r="B63" s="69"/>
      <c r="C63" s="69"/>
      <c r="D63" s="90"/>
      <c r="E63" s="90"/>
      <c r="F63" s="90"/>
      <c r="G63" s="70"/>
      <c r="H63" s="71"/>
      <c r="I63" s="70"/>
      <c r="J63" s="71"/>
      <c r="K63" s="70"/>
    </row>
    <row r="64" ht="128.25" customHeight="1">
      <c r="A64" s="69"/>
      <c r="B64" s="69"/>
      <c r="C64" s="69"/>
      <c r="D64" s="90"/>
      <c r="E64" s="90"/>
      <c r="F64" s="90"/>
      <c r="G64" s="70"/>
      <c r="H64" s="71"/>
      <c r="I64" s="70"/>
      <c r="J64" s="71"/>
      <c r="K64" s="70"/>
    </row>
    <row r="65" ht="129.75" customHeight="1">
      <c r="A65" s="69"/>
      <c r="B65" s="69"/>
      <c r="C65" s="69"/>
      <c r="D65" s="90"/>
      <c r="E65" s="90"/>
      <c r="F65" s="90"/>
      <c r="G65" s="70"/>
      <c r="H65" s="71"/>
      <c r="I65" s="70"/>
      <c r="J65" s="71"/>
      <c r="K65" s="70"/>
    </row>
    <row r="66" ht="144.0" customHeight="1">
      <c r="A66" s="69"/>
      <c r="B66" s="69"/>
      <c r="C66" s="69"/>
      <c r="D66" s="90"/>
      <c r="E66" s="90"/>
      <c r="F66" s="90"/>
      <c r="G66" s="70"/>
      <c r="H66" s="71"/>
      <c r="I66" s="70"/>
      <c r="J66" s="71"/>
      <c r="K66" s="70"/>
    </row>
    <row r="67" ht="129.75" customHeight="1">
      <c r="A67" s="69"/>
      <c r="B67" s="69"/>
      <c r="C67" s="69"/>
      <c r="D67" s="90"/>
      <c r="E67" s="90"/>
      <c r="F67" s="90"/>
      <c r="G67" s="70"/>
      <c r="H67" s="71"/>
      <c r="I67" s="70"/>
      <c r="J67" s="71"/>
      <c r="K67" s="70"/>
    </row>
    <row r="68" ht="121.5" customHeight="1">
      <c r="A68" s="69"/>
      <c r="B68" s="69"/>
      <c r="C68" s="69"/>
      <c r="D68" s="90"/>
      <c r="E68" s="90"/>
      <c r="F68" s="90"/>
      <c r="G68" s="70"/>
      <c r="H68" s="71"/>
      <c r="I68" s="70"/>
      <c r="J68" s="71"/>
      <c r="K68" s="70"/>
    </row>
    <row r="69" ht="179.25" customHeight="1">
      <c r="A69" s="69"/>
      <c r="B69" s="69"/>
      <c r="C69" s="69"/>
      <c r="D69" s="90"/>
      <c r="E69" s="90"/>
      <c r="F69" s="90"/>
      <c r="G69" s="70"/>
      <c r="H69" s="71"/>
      <c r="I69" s="70"/>
      <c r="J69" s="71"/>
      <c r="K69" s="70"/>
    </row>
    <row r="70" ht="57.0" customHeight="1">
      <c r="A70" s="69"/>
      <c r="B70" s="95"/>
      <c r="C70" s="96"/>
      <c r="D70" s="90"/>
      <c r="E70" s="90"/>
      <c r="F70" s="90"/>
      <c r="G70" s="70"/>
      <c r="H70" s="71"/>
      <c r="I70" s="70"/>
      <c r="J70" s="71"/>
      <c r="K70" s="70"/>
    </row>
    <row r="71" ht="45.75" customHeight="1">
      <c r="A71" s="69"/>
      <c r="B71" s="97"/>
      <c r="C71" s="96"/>
      <c r="D71" s="90"/>
      <c r="E71" s="90"/>
      <c r="F71" s="90"/>
      <c r="G71" s="70"/>
      <c r="H71" s="71"/>
      <c r="I71" s="70"/>
      <c r="J71" s="71"/>
      <c r="K71" s="70"/>
    </row>
    <row r="72" ht="47.25" customHeight="1">
      <c r="A72" s="69"/>
      <c r="B72" s="97"/>
      <c r="C72" s="96"/>
      <c r="D72" s="90"/>
      <c r="E72" s="90"/>
      <c r="F72" s="90"/>
      <c r="G72" s="70"/>
      <c r="H72" s="71"/>
      <c r="I72" s="70"/>
      <c r="J72" s="71"/>
      <c r="K72" s="70"/>
    </row>
    <row r="73" ht="139.5" customHeight="1">
      <c r="A73" s="69"/>
      <c r="B73" s="97"/>
      <c r="C73" s="96"/>
      <c r="D73" s="90"/>
      <c r="E73" s="90"/>
      <c r="F73" s="90"/>
      <c r="G73" s="70"/>
      <c r="H73" s="71"/>
      <c r="I73" s="70"/>
      <c r="J73" s="71"/>
      <c r="K73" s="70"/>
    </row>
    <row r="74" ht="138.0" customHeight="1">
      <c r="A74" s="69"/>
      <c r="B74" s="97"/>
      <c r="C74" s="96"/>
      <c r="D74" s="90"/>
      <c r="E74" s="90"/>
      <c r="F74" s="90"/>
      <c r="G74" s="70"/>
      <c r="H74" s="71"/>
      <c r="I74" s="70"/>
      <c r="J74" s="71"/>
      <c r="K74" s="70"/>
    </row>
    <row r="75" ht="129.0" customHeight="1">
      <c r="A75" s="69"/>
      <c r="B75" s="97"/>
      <c r="C75" s="96"/>
      <c r="D75" s="90"/>
      <c r="E75" s="90"/>
      <c r="F75" s="90"/>
      <c r="G75" s="70"/>
      <c r="H75" s="71"/>
      <c r="I75" s="70"/>
      <c r="J75" s="71"/>
      <c r="K75" s="70"/>
    </row>
    <row r="76" ht="123.75" customHeight="1">
      <c r="A76" s="69"/>
      <c r="B76" s="97"/>
      <c r="C76" s="96"/>
      <c r="D76" s="90"/>
      <c r="E76" s="90"/>
      <c r="F76" s="90"/>
      <c r="G76" s="70"/>
      <c r="H76" s="71"/>
      <c r="I76" s="70"/>
      <c r="J76" s="71"/>
      <c r="K76" s="70"/>
    </row>
    <row r="77" ht="147.75" customHeight="1">
      <c r="A77" s="69"/>
      <c r="B77" s="97"/>
      <c r="C77" s="96"/>
      <c r="D77" s="90"/>
      <c r="E77" s="90"/>
      <c r="F77" s="90"/>
      <c r="G77" s="70"/>
      <c r="H77" s="71"/>
      <c r="I77" s="70"/>
      <c r="J77" s="71"/>
      <c r="K77" s="70"/>
    </row>
    <row r="78" ht="90.0" customHeight="1">
      <c r="A78" s="75"/>
      <c r="B78" s="75"/>
      <c r="C78" s="75"/>
      <c r="D78" s="79"/>
      <c r="E78" s="79"/>
      <c r="F78" s="79"/>
      <c r="G78" s="77"/>
      <c r="H78" s="79"/>
    </row>
    <row r="79" ht="90.0" customHeight="1">
      <c r="A79" s="80"/>
      <c r="B79" s="80"/>
      <c r="C79" s="80"/>
      <c r="D79" s="84"/>
      <c r="E79" s="84"/>
      <c r="F79" s="84"/>
      <c r="G79" s="82"/>
      <c r="H79" s="84"/>
    </row>
    <row r="80" ht="127.5" customHeight="1"/>
    <row r="81" ht="138.75" customHeight="1"/>
    <row r="82" ht="132.75" customHeight="1"/>
    <row r="83" ht="116.25" customHeight="1"/>
    <row r="84" ht="140.25"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6" t="s">
        <v>2</v>
      </c>
      <c r="B1" s="8"/>
      <c r="C1" s="8"/>
      <c r="D1" s="8"/>
      <c r="E1" s="8"/>
      <c r="F1" s="8"/>
      <c r="G1" s="8"/>
      <c r="H1" s="8"/>
      <c r="I1" s="8"/>
      <c r="J1" s="8"/>
      <c r="K1" s="8"/>
      <c r="L1" s="10"/>
    </row>
    <row r="2" ht="24.75" customHeight="1">
      <c r="A2" s="11" t="s">
        <v>8</v>
      </c>
      <c r="B2" s="8"/>
      <c r="C2" s="8"/>
      <c r="D2" s="8"/>
      <c r="E2" s="8"/>
      <c r="F2" s="8"/>
      <c r="G2" s="8"/>
      <c r="H2" s="8"/>
      <c r="I2" s="8"/>
      <c r="J2" s="8"/>
      <c r="K2" s="8"/>
      <c r="L2" s="10"/>
    </row>
    <row r="3" ht="7.5" customHeight="1"/>
    <row r="4" ht="50.25" customHeight="1">
      <c r="A4" s="12" t="s">
        <v>11</v>
      </c>
      <c r="B4" s="12" t="s">
        <v>12</v>
      </c>
      <c r="C4" s="12" t="s">
        <v>13</v>
      </c>
      <c r="D4" s="12" t="s">
        <v>14</v>
      </c>
      <c r="E4" s="12" t="s">
        <v>15</v>
      </c>
      <c r="F4" s="12" t="s">
        <v>16</v>
      </c>
      <c r="G4" s="12" t="s">
        <v>17</v>
      </c>
      <c r="H4" s="12" t="s">
        <v>18</v>
      </c>
      <c r="I4" s="12" t="s">
        <v>19</v>
      </c>
      <c r="J4" s="12" t="s">
        <v>20</v>
      </c>
      <c r="K4" s="12" t="s">
        <v>21</v>
      </c>
    </row>
    <row r="5" ht="176.25" customHeight="1">
      <c r="A5" s="16">
        <v>1.0</v>
      </c>
      <c r="B5" s="19" t="s">
        <v>24</v>
      </c>
      <c r="C5" s="19" t="s">
        <v>34</v>
      </c>
      <c r="D5" s="21" t="s">
        <v>35</v>
      </c>
      <c r="E5" s="21" t="s">
        <v>37</v>
      </c>
      <c r="F5" s="21" t="s">
        <v>38</v>
      </c>
      <c r="G5" s="27">
        <v>3.0</v>
      </c>
      <c r="H5" s="27">
        <v>3.0</v>
      </c>
      <c r="I5" s="27">
        <v>3.0</v>
      </c>
      <c r="J5" s="27">
        <v>4.0</v>
      </c>
      <c r="K5" s="30">
        <f t="shared" ref="K5:K37" si="1">AVERAGE(G5:J5)</f>
        <v>3.25</v>
      </c>
    </row>
    <row r="6" ht="131.25" customHeight="1">
      <c r="A6" s="37">
        <v>2.0</v>
      </c>
      <c r="B6" s="41" t="s">
        <v>24</v>
      </c>
      <c r="C6" s="41" t="s">
        <v>70</v>
      </c>
      <c r="D6" s="44" t="s">
        <v>72</v>
      </c>
      <c r="E6" s="44" t="s">
        <v>74</v>
      </c>
      <c r="F6" s="44" t="s">
        <v>76</v>
      </c>
      <c r="G6" s="27">
        <v>3.0</v>
      </c>
      <c r="H6" s="27">
        <v>3.0</v>
      </c>
      <c r="I6" s="27">
        <v>3.0</v>
      </c>
      <c r="J6" s="27">
        <v>4.0</v>
      </c>
      <c r="K6" s="30">
        <f t="shared" si="1"/>
        <v>3.25</v>
      </c>
    </row>
    <row r="7" ht="143.25" customHeight="1">
      <c r="A7" s="16">
        <v>3.0</v>
      </c>
      <c r="B7" s="19" t="s">
        <v>97</v>
      </c>
      <c r="C7" s="19" t="s">
        <v>25</v>
      </c>
      <c r="D7" s="21" t="s">
        <v>98</v>
      </c>
      <c r="E7" s="21" t="s">
        <v>99</v>
      </c>
      <c r="F7" s="21" t="s">
        <v>100</v>
      </c>
      <c r="G7" s="27">
        <v>4.0</v>
      </c>
      <c r="H7" s="27">
        <v>3.0</v>
      </c>
      <c r="I7" s="27">
        <v>4.0</v>
      </c>
      <c r="J7" s="27">
        <v>4.0</v>
      </c>
      <c r="K7" s="30">
        <f t="shared" si="1"/>
        <v>3.75</v>
      </c>
    </row>
    <row r="8" ht="166.5" customHeight="1">
      <c r="A8" s="37">
        <v>4.0</v>
      </c>
      <c r="B8" s="14" t="s">
        <v>97</v>
      </c>
      <c r="C8" s="14" t="s">
        <v>70</v>
      </c>
      <c r="D8" s="17" t="s">
        <v>104</v>
      </c>
      <c r="E8" s="17" t="s">
        <v>106</v>
      </c>
      <c r="F8" s="17" t="s">
        <v>107</v>
      </c>
      <c r="G8" s="27">
        <v>4.0</v>
      </c>
      <c r="H8" s="27">
        <v>3.0</v>
      </c>
      <c r="I8" s="27">
        <v>3.0</v>
      </c>
      <c r="J8" s="27">
        <v>4.0</v>
      </c>
      <c r="K8" s="30">
        <f t="shared" si="1"/>
        <v>3.5</v>
      </c>
    </row>
    <row r="9" ht="227.25" customHeight="1">
      <c r="A9" s="16">
        <v>5.0</v>
      </c>
      <c r="B9" s="19" t="s">
        <v>97</v>
      </c>
      <c r="C9" s="19" t="s">
        <v>112</v>
      </c>
      <c r="D9" s="21" t="s">
        <v>114</v>
      </c>
      <c r="E9" s="21" t="s">
        <v>115</v>
      </c>
      <c r="F9" s="21" t="s">
        <v>116</v>
      </c>
      <c r="G9" s="27">
        <v>3.0</v>
      </c>
      <c r="H9" s="27">
        <v>4.0</v>
      </c>
      <c r="I9" s="27">
        <v>3.0</v>
      </c>
      <c r="J9" s="27">
        <v>4.0</v>
      </c>
      <c r="K9" s="30">
        <f t="shared" si="1"/>
        <v>3.5</v>
      </c>
    </row>
    <row r="10" ht="141.0" customHeight="1">
      <c r="A10" s="37">
        <v>6.0</v>
      </c>
      <c r="B10" s="14" t="s">
        <v>123</v>
      </c>
      <c r="C10" s="14" t="s">
        <v>25</v>
      </c>
      <c r="D10" s="17" t="s">
        <v>125</v>
      </c>
      <c r="E10" s="17" t="s">
        <v>126</v>
      </c>
      <c r="F10" s="17" t="s">
        <v>127</v>
      </c>
      <c r="G10" s="49">
        <v>4.0</v>
      </c>
      <c r="H10" s="49">
        <v>3.0</v>
      </c>
      <c r="I10" s="49">
        <v>3.0</v>
      </c>
      <c r="J10" s="49">
        <v>4.0</v>
      </c>
      <c r="K10" s="30">
        <f t="shared" si="1"/>
        <v>3.5</v>
      </c>
    </row>
    <row r="11" ht="170.25" customHeight="1">
      <c r="A11" s="16">
        <v>7.0</v>
      </c>
      <c r="B11" s="19" t="s">
        <v>123</v>
      </c>
      <c r="C11" s="19" t="s">
        <v>70</v>
      </c>
      <c r="D11" s="21" t="s">
        <v>128</v>
      </c>
      <c r="E11" s="21" t="s">
        <v>129</v>
      </c>
      <c r="F11" s="21" t="s">
        <v>130</v>
      </c>
      <c r="G11" s="49">
        <v>4.0</v>
      </c>
      <c r="H11" s="49">
        <v>3.0</v>
      </c>
      <c r="I11" s="49">
        <v>3.0</v>
      </c>
      <c r="J11" s="49">
        <v>4.0</v>
      </c>
      <c r="K11" s="30">
        <f t="shared" si="1"/>
        <v>3.5</v>
      </c>
    </row>
    <row r="12" ht="143.25" customHeight="1">
      <c r="A12" s="37">
        <v>8.0</v>
      </c>
      <c r="B12" s="41" t="s">
        <v>131</v>
      </c>
      <c r="C12" s="41" t="s">
        <v>132</v>
      </c>
      <c r="D12" s="44" t="s">
        <v>133</v>
      </c>
      <c r="E12" s="44" t="s">
        <v>134</v>
      </c>
      <c r="F12" s="44" t="s">
        <v>135</v>
      </c>
      <c r="G12" s="49">
        <v>4.0</v>
      </c>
      <c r="H12" s="49">
        <v>3.0</v>
      </c>
      <c r="I12" s="49">
        <v>3.0</v>
      </c>
      <c r="J12" s="49">
        <v>4.0</v>
      </c>
      <c r="K12" s="30">
        <f t="shared" si="1"/>
        <v>3.5</v>
      </c>
    </row>
    <row r="13" ht="209.25" customHeight="1">
      <c r="A13" s="16">
        <v>9.0</v>
      </c>
      <c r="B13" s="19" t="s">
        <v>136</v>
      </c>
      <c r="C13" s="19" t="s">
        <v>25</v>
      </c>
      <c r="D13" s="21" t="s">
        <v>137</v>
      </c>
      <c r="E13" s="21" t="s">
        <v>138</v>
      </c>
      <c r="F13" s="21" t="s">
        <v>139</v>
      </c>
      <c r="G13" s="49">
        <v>4.0</v>
      </c>
      <c r="H13" s="49">
        <v>3.0</v>
      </c>
      <c r="I13" s="49">
        <v>3.0</v>
      </c>
      <c r="J13" s="49">
        <v>4.0</v>
      </c>
      <c r="K13" s="30">
        <f t="shared" si="1"/>
        <v>3.5</v>
      </c>
    </row>
    <row r="14" ht="177.75" customHeight="1">
      <c r="A14" s="37">
        <v>10.0</v>
      </c>
      <c r="B14" s="14" t="s">
        <v>140</v>
      </c>
      <c r="C14" s="14" t="s">
        <v>25</v>
      </c>
      <c r="D14" s="17" t="s">
        <v>141</v>
      </c>
      <c r="E14" s="17" t="s">
        <v>142</v>
      </c>
      <c r="F14" s="17" t="s">
        <v>143</v>
      </c>
      <c r="G14" s="49">
        <v>4.0</v>
      </c>
      <c r="H14" s="49">
        <v>3.0</v>
      </c>
      <c r="I14" s="49">
        <v>3.0</v>
      </c>
      <c r="J14" s="49">
        <v>4.0</v>
      </c>
      <c r="K14" s="30">
        <f t="shared" si="1"/>
        <v>3.5</v>
      </c>
    </row>
    <row r="15" ht="153.75" customHeight="1">
      <c r="A15" s="16">
        <v>11.0</v>
      </c>
      <c r="B15" s="19" t="s">
        <v>140</v>
      </c>
      <c r="C15" s="19" t="s">
        <v>144</v>
      </c>
      <c r="D15" s="21" t="s">
        <v>145</v>
      </c>
      <c r="E15" s="21" t="s">
        <v>146</v>
      </c>
      <c r="F15" s="21" t="s">
        <v>147</v>
      </c>
      <c r="G15" s="49">
        <v>4.0</v>
      </c>
      <c r="H15" s="49">
        <v>3.0</v>
      </c>
      <c r="I15" s="49">
        <v>3.0</v>
      </c>
      <c r="J15" s="49">
        <v>4.0</v>
      </c>
      <c r="K15" s="30">
        <f t="shared" si="1"/>
        <v>3.5</v>
      </c>
    </row>
    <row r="16" ht="192.75" customHeight="1">
      <c r="A16" s="37">
        <v>12.0</v>
      </c>
      <c r="B16" s="41" t="s">
        <v>140</v>
      </c>
      <c r="C16" s="41" t="s">
        <v>148</v>
      </c>
      <c r="D16" s="44" t="s">
        <v>149</v>
      </c>
      <c r="E16" s="44" t="s">
        <v>150</v>
      </c>
      <c r="F16" s="44" t="s">
        <v>151</v>
      </c>
      <c r="G16" s="49">
        <v>4.0</v>
      </c>
      <c r="H16" s="49">
        <v>3.0</v>
      </c>
      <c r="I16" s="49">
        <v>3.0</v>
      </c>
      <c r="J16" s="49">
        <v>4.0</v>
      </c>
      <c r="K16" s="30">
        <f t="shared" si="1"/>
        <v>3.5</v>
      </c>
    </row>
    <row r="17" ht="201.75" customHeight="1">
      <c r="A17" s="16">
        <v>13.0</v>
      </c>
      <c r="B17" s="19" t="s">
        <v>152</v>
      </c>
      <c r="C17" s="19" t="s">
        <v>25</v>
      </c>
      <c r="D17" s="21" t="s">
        <v>153</v>
      </c>
      <c r="E17" s="21" t="s">
        <v>154</v>
      </c>
      <c r="F17" s="21" t="s">
        <v>155</v>
      </c>
      <c r="G17" s="49">
        <v>4.0</v>
      </c>
      <c r="H17" s="49">
        <v>3.0</v>
      </c>
      <c r="I17" s="49">
        <v>3.0</v>
      </c>
      <c r="J17" s="49">
        <v>4.0</v>
      </c>
      <c r="K17" s="30">
        <f t="shared" si="1"/>
        <v>3.5</v>
      </c>
    </row>
    <row r="18" ht="171.75" customHeight="1">
      <c r="A18" s="37">
        <v>14.0</v>
      </c>
      <c r="B18" s="14" t="s">
        <v>152</v>
      </c>
      <c r="C18" s="14" t="s">
        <v>70</v>
      </c>
      <c r="D18" s="17" t="s">
        <v>156</v>
      </c>
      <c r="E18" s="17" t="s">
        <v>157</v>
      </c>
      <c r="F18" s="17" t="s">
        <v>158</v>
      </c>
      <c r="G18" s="49">
        <v>4.0</v>
      </c>
      <c r="H18" s="49">
        <v>3.0</v>
      </c>
      <c r="I18" s="49">
        <v>3.0</v>
      </c>
      <c r="J18" s="49">
        <v>4.0</v>
      </c>
      <c r="K18" s="30">
        <f t="shared" si="1"/>
        <v>3.5</v>
      </c>
    </row>
    <row r="19" ht="168.75" customHeight="1">
      <c r="A19" s="16">
        <v>15.0</v>
      </c>
      <c r="B19" s="19" t="s">
        <v>152</v>
      </c>
      <c r="C19" s="19" t="s">
        <v>112</v>
      </c>
      <c r="D19" s="21" t="s">
        <v>159</v>
      </c>
      <c r="E19" s="21" t="s">
        <v>160</v>
      </c>
      <c r="F19" s="21" t="s">
        <v>161</v>
      </c>
      <c r="G19" s="49">
        <v>4.0</v>
      </c>
      <c r="H19" s="49">
        <v>3.0</v>
      </c>
      <c r="I19" s="49">
        <v>3.0</v>
      </c>
      <c r="J19" s="49">
        <v>4.0</v>
      </c>
      <c r="K19" s="30">
        <f t="shared" si="1"/>
        <v>3.5</v>
      </c>
    </row>
    <row r="20" ht="209.25" customHeight="1">
      <c r="A20" s="37">
        <v>16.0</v>
      </c>
      <c r="B20" s="41" t="s">
        <v>162</v>
      </c>
      <c r="C20" s="41" t="s">
        <v>70</v>
      </c>
      <c r="D20" s="44" t="s">
        <v>163</v>
      </c>
      <c r="E20" s="44" t="s">
        <v>164</v>
      </c>
      <c r="F20" s="44" t="s">
        <v>165</v>
      </c>
      <c r="G20" s="49">
        <v>4.0</v>
      </c>
      <c r="H20" s="49">
        <v>3.0</v>
      </c>
      <c r="I20" s="49">
        <v>3.0</v>
      </c>
      <c r="J20" s="49">
        <v>4.0</v>
      </c>
      <c r="K20" s="30">
        <f t="shared" si="1"/>
        <v>3.5</v>
      </c>
    </row>
    <row r="21" ht="128.25" customHeight="1">
      <c r="A21" s="16">
        <v>17.0</v>
      </c>
      <c r="B21" s="72" t="s">
        <v>162</v>
      </c>
      <c r="C21" s="72" t="s">
        <v>112</v>
      </c>
      <c r="D21" s="73" t="s">
        <v>166</v>
      </c>
      <c r="E21" s="73" t="s">
        <v>167</v>
      </c>
      <c r="F21" s="73" t="s">
        <v>168</v>
      </c>
      <c r="G21" s="49">
        <v>4.0</v>
      </c>
      <c r="H21" s="49">
        <v>3.0</v>
      </c>
      <c r="I21" s="49">
        <v>3.0</v>
      </c>
      <c r="J21" s="49">
        <v>4.0</v>
      </c>
      <c r="K21" s="30">
        <f t="shared" si="1"/>
        <v>3.5</v>
      </c>
    </row>
    <row r="22" ht="186.75" customHeight="1">
      <c r="A22" s="37">
        <v>18.0</v>
      </c>
      <c r="B22" s="41" t="s">
        <v>169</v>
      </c>
      <c r="C22" s="41" t="s">
        <v>25</v>
      </c>
      <c r="D22" s="44" t="s">
        <v>170</v>
      </c>
      <c r="E22" s="44" t="s">
        <v>171</v>
      </c>
      <c r="F22" s="44" t="s">
        <v>172</v>
      </c>
      <c r="G22" s="49">
        <v>4.0</v>
      </c>
      <c r="H22" s="49">
        <v>3.0</v>
      </c>
      <c r="I22" s="49">
        <v>3.0</v>
      </c>
      <c r="J22" s="49">
        <v>4.0</v>
      </c>
      <c r="K22" s="30">
        <f t="shared" si="1"/>
        <v>3.5</v>
      </c>
    </row>
    <row r="23" ht="162.0" customHeight="1">
      <c r="A23" s="16">
        <v>19.0</v>
      </c>
      <c r="B23" s="19" t="s">
        <v>169</v>
      </c>
      <c r="C23" s="19" t="s">
        <v>112</v>
      </c>
      <c r="D23" s="21" t="s">
        <v>173</v>
      </c>
      <c r="E23" s="21" t="s">
        <v>174</v>
      </c>
      <c r="F23" s="21" t="s">
        <v>175</v>
      </c>
      <c r="G23" s="49">
        <v>4.0</v>
      </c>
      <c r="H23" s="49">
        <v>3.0</v>
      </c>
      <c r="I23" s="49">
        <v>3.0</v>
      </c>
      <c r="J23" s="49">
        <v>4.0</v>
      </c>
      <c r="K23" s="30">
        <f t="shared" si="1"/>
        <v>3.5</v>
      </c>
    </row>
    <row r="24" ht="226.5" customHeight="1">
      <c r="A24" s="37">
        <v>20.0</v>
      </c>
      <c r="B24" s="14" t="s">
        <v>176</v>
      </c>
      <c r="C24" s="14" t="s">
        <v>25</v>
      </c>
      <c r="D24" s="17" t="s">
        <v>177</v>
      </c>
      <c r="E24" s="17" t="s">
        <v>178</v>
      </c>
      <c r="F24" s="17" t="s">
        <v>179</v>
      </c>
      <c r="G24" s="49">
        <v>4.0</v>
      </c>
      <c r="H24" s="49">
        <v>3.0</v>
      </c>
      <c r="I24" s="49">
        <v>3.0</v>
      </c>
      <c r="J24" s="49">
        <v>4.0</v>
      </c>
      <c r="K24" s="30">
        <f t="shared" si="1"/>
        <v>3.5</v>
      </c>
    </row>
    <row r="25" ht="186.75" customHeight="1">
      <c r="A25" s="16">
        <v>21.0</v>
      </c>
      <c r="B25" s="19" t="s">
        <v>180</v>
      </c>
      <c r="C25" s="19" t="s">
        <v>25</v>
      </c>
      <c r="D25" s="21" t="s">
        <v>181</v>
      </c>
      <c r="E25" s="21" t="s">
        <v>182</v>
      </c>
      <c r="F25" s="21" t="s">
        <v>183</v>
      </c>
      <c r="G25" s="49">
        <v>4.0</v>
      </c>
      <c r="H25" s="49">
        <v>3.0</v>
      </c>
      <c r="I25" s="49">
        <v>3.0</v>
      </c>
      <c r="J25" s="49">
        <v>4.0</v>
      </c>
      <c r="K25" s="30">
        <f t="shared" si="1"/>
        <v>3.5</v>
      </c>
    </row>
    <row r="26" ht="175.5" customHeight="1">
      <c r="A26" s="37">
        <v>22.0</v>
      </c>
      <c r="B26" s="41" t="s">
        <v>184</v>
      </c>
      <c r="C26" s="41" t="s">
        <v>70</v>
      </c>
      <c r="D26" s="44" t="s">
        <v>185</v>
      </c>
      <c r="E26" s="44" t="s">
        <v>186</v>
      </c>
      <c r="F26" s="44" t="s">
        <v>187</v>
      </c>
      <c r="G26" s="49">
        <v>4.0</v>
      </c>
      <c r="H26" s="49">
        <v>3.0</v>
      </c>
      <c r="I26" s="49">
        <v>3.0</v>
      </c>
      <c r="J26" s="49">
        <v>4.0</v>
      </c>
      <c r="K26" s="30">
        <f t="shared" si="1"/>
        <v>3.5</v>
      </c>
    </row>
    <row r="27" ht="153.75" customHeight="1">
      <c r="A27" s="16">
        <v>23.0</v>
      </c>
      <c r="B27" s="19" t="s">
        <v>188</v>
      </c>
      <c r="C27" s="19" t="s">
        <v>25</v>
      </c>
      <c r="D27" s="21" t="s">
        <v>189</v>
      </c>
      <c r="E27" s="21" t="s">
        <v>190</v>
      </c>
      <c r="F27" s="21" t="s">
        <v>191</v>
      </c>
      <c r="G27" s="49">
        <v>4.0</v>
      </c>
      <c r="H27" s="49">
        <v>3.0</v>
      </c>
      <c r="I27" s="49">
        <v>3.0</v>
      </c>
      <c r="J27" s="49">
        <v>4.0</v>
      </c>
      <c r="K27" s="30">
        <f t="shared" si="1"/>
        <v>3.5</v>
      </c>
    </row>
    <row r="28" ht="216.0" customHeight="1">
      <c r="A28" s="37">
        <v>24.0</v>
      </c>
      <c r="B28" s="41" t="s">
        <v>192</v>
      </c>
      <c r="C28" s="41" t="s">
        <v>25</v>
      </c>
      <c r="D28" s="44" t="s">
        <v>193</v>
      </c>
      <c r="E28" s="44" t="s">
        <v>194</v>
      </c>
      <c r="F28" s="44" t="s">
        <v>195</v>
      </c>
      <c r="G28" s="49">
        <v>4.0</v>
      </c>
      <c r="H28" s="49">
        <v>3.0</v>
      </c>
      <c r="I28" s="49">
        <v>3.0</v>
      </c>
      <c r="J28" s="49">
        <v>4.0</v>
      </c>
      <c r="K28" s="30">
        <f t="shared" si="1"/>
        <v>3.5</v>
      </c>
    </row>
    <row r="29" ht="172.5" customHeight="1">
      <c r="A29" s="16">
        <v>25.0</v>
      </c>
      <c r="B29" s="72" t="s">
        <v>192</v>
      </c>
      <c r="C29" s="72" t="s">
        <v>70</v>
      </c>
      <c r="D29" s="73" t="s">
        <v>196</v>
      </c>
      <c r="E29" s="73" t="s">
        <v>197</v>
      </c>
      <c r="F29" s="73" t="s">
        <v>198</v>
      </c>
      <c r="G29" s="49">
        <v>4.0</v>
      </c>
      <c r="H29" s="49">
        <v>3.0</v>
      </c>
      <c r="I29" s="49">
        <v>3.0</v>
      </c>
      <c r="J29" s="49">
        <v>4.0</v>
      </c>
      <c r="K29" s="30">
        <f t="shared" si="1"/>
        <v>3.5</v>
      </c>
    </row>
    <row r="30" ht="188.25" customHeight="1">
      <c r="A30" s="37">
        <v>26.0</v>
      </c>
      <c r="B30" s="41" t="s">
        <v>192</v>
      </c>
      <c r="C30" s="41" t="s">
        <v>112</v>
      </c>
      <c r="D30" s="44" t="s">
        <v>199</v>
      </c>
      <c r="E30" s="44" t="s">
        <v>200</v>
      </c>
      <c r="F30" s="44" t="s">
        <v>201</v>
      </c>
      <c r="G30" s="49">
        <v>4.0</v>
      </c>
      <c r="H30" s="49">
        <v>3.0</v>
      </c>
      <c r="I30" s="49">
        <v>3.0</v>
      </c>
      <c r="J30" s="49">
        <v>4.0</v>
      </c>
      <c r="K30" s="30">
        <f t="shared" si="1"/>
        <v>3.5</v>
      </c>
    </row>
    <row r="31" ht="207.75" customHeight="1">
      <c r="A31" s="16">
        <v>27.0</v>
      </c>
      <c r="B31" s="72" t="s">
        <v>202</v>
      </c>
      <c r="C31" s="72" t="s">
        <v>25</v>
      </c>
      <c r="D31" s="73" t="s">
        <v>203</v>
      </c>
      <c r="E31" s="73" t="s">
        <v>204</v>
      </c>
      <c r="F31" s="73" t="s">
        <v>205</v>
      </c>
      <c r="G31" s="49">
        <v>4.0</v>
      </c>
      <c r="H31" s="49">
        <v>3.0</v>
      </c>
      <c r="I31" s="49">
        <v>3.0</v>
      </c>
      <c r="J31" s="49">
        <v>4.0</v>
      </c>
      <c r="K31" s="30">
        <f t="shared" si="1"/>
        <v>3.5</v>
      </c>
    </row>
    <row r="32" ht="174.0" customHeight="1">
      <c r="A32" s="37">
        <v>28.0</v>
      </c>
      <c r="B32" s="41" t="s">
        <v>202</v>
      </c>
      <c r="C32" s="41" t="s">
        <v>70</v>
      </c>
      <c r="D32" s="44" t="s">
        <v>206</v>
      </c>
      <c r="E32" s="44" t="s">
        <v>207</v>
      </c>
      <c r="F32" s="44" t="s">
        <v>208</v>
      </c>
      <c r="G32" s="49">
        <v>4.0</v>
      </c>
      <c r="H32" s="49">
        <v>3.0</v>
      </c>
      <c r="I32" s="49">
        <v>3.0</v>
      </c>
      <c r="J32" s="49">
        <v>4.0</v>
      </c>
      <c r="K32" s="30">
        <f t="shared" si="1"/>
        <v>3.5</v>
      </c>
    </row>
    <row r="33" ht="195.75" customHeight="1">
      <c r="A33" s="16">
        <v>29.0</v>
      </c>
      <c r="B33" s="19" t="s">
        <v>202</v>
      </c>
      <c r="C33" s="19" t="s">
        <v>112</v>
      </c>
      <c r="D33" s="21" t="s">
        <v>209</v>
      </c>
      <c r="E33" s="21" t="s">
        <v>210</v>
      </c>
      <c r="F33" s="21" t="s">
        <v>211</v>
      </c>
      <c r="G33" s="49">
        <v>4.0</v>
      </c>
      <c r="H33" s="49">
        <v>3.0</v>
      </c>
      <c r="I33" s="49">
        <v>3.0</v>
      </c>
      <c r="J33" s="49">
        <v>4.0</v>
      </c>
      <c r="K33" s="30">
        <f t="shared" si="1"/>
        <v>3.5</v>
      </c>
    </row>
    <row r="34" ht="212.25" customHeight="1">
      <c r="A34" s="37">
        <v>30.0</v>
      </c>
      <c r="B34" s="41" t="s">
        <v>212</v>
      </c>
      <c r="C34" s="41" t="s">
        <v>25</v>
      </c>
      <c r="D34" s="44" t="s">
        <v>213</v>
      </c>
      <c r="E34" s="44" t="s">
        <v>214</v>
      </c>
      <c r="F34" s="44" t="s">
        <v>215</v>
      </c>
      <c r="G34" s="49">
        <v>4.0</v>
      </c>
      <c r="H34" s="49">
        <v>3.0</v>
      </c>
      <c r="I34" s="49">
        <v>3.0</v>
      </c>
      <c r="J34" s="49">
        <v>4.0</v>
      </c>
      <c r="K34" s="30">
        <f t="shared" si="1"/>
        <v>3.5</v>
      </c>
    </row>
    <row r="35" ht="190.5" customHeight="1">
      <c r="A35" s="16">
        <v>31.0</v>
      </c>
      <c r="B35" s="74">
        <v>46197.0</v>
      </c>
      <c r="C35" s="76">
        <v>0.5</v>
      </c>
      <c r="D35" s="73" t="s">
        <v>216</v>
      </c>
      <c r="E35" s="78" t="s">
        <v>217</v>
      </c>
      <c r="F35" s="78" t="s">
        <v>218</v>
      </c>
      <c r="G35" s="49">
        <v>4.0</v>
      </c>
      <c r="H35" s="49">
        <v>3.0</v>
      </c>
      <c r="I35" s="49">
        <v>3.0</v>
      </c>
      <c r="J35" s="49">
        <v>4.0</v>
      </c>
      <c r="K35" s="30">
        <f t="shared" si="1"/>
        <v>3.5</v>
      </c>
    </row>
    <row r="36" ht="177.75" customHeight="1">
      <c r="A36" s="37">
        <v>32.0</v>
      </c>
      <c r="B36" s="83">
        <v>46197.0</v>
      </c>
      <c r="C36" s="85">
        <v>0.666666666666667</v>
      </c>
      <c r="D36" s="86" t="s">
        <v>219</v>
      </c>
      <c r="E36" s="87" t="s">
        <v>220</v>
      </c>
      <c r="F36" s="87" t="s">
        <v>221</v>
      </c>
      <c r="G36" s="49">
        <v>4.0</v>
      </c>
      <c r="H36" s="49">
        <v>3.0</v>
      </c>
      <c r="I36" s="49">
        <v>3.0</v>
      </c>
      <c r="J36" s="49">
        <v>4.0</v>
      </c>
      <c r="K36" s="67">
        <f t="shared" si="1"/>
        <v>3.5</v>
      </c>
    </row>
    <row r="37" ht="143.25" customHeight="1">
      <c r="A37" s="16">
        <v>33.0</v>
      </c>
      <c r="B37" s="89">
        <v>46198.0</v>
      </c>
      <c r="C37" s="76">
        <v>0.5</v>
      </c>
      <c r="D37" s="78" t="s">
        <v>222</v>
      </c>
      <c r="E37" s="78" t="s">
        <v>223</v>
      </c>
      <c r="F37" s="78" t="s">
        <v>224</v>
      </c>
      <c r="G37" s="49">
        <v>4.0</v>
      </c>
      <c r="H37" s="49">
        <v>3.0</v>
      </c>
      <c r="I37" s="49">
        <v>3.0</v>
      </c>
      <c r="J37" s="49">
        <v>4.0</v>
      </c>
      <c r="K37" s="68">
        <f t="shared" si="1"/>
        <v>3.5</v>
      </c>
    </row>
    <row r="38" ht="90.0" customHeight="1">
      <c r="A38" s="69"/>
      <c r="B38" s="69"/>
      <c r="C38" s="69"/>
      <c r="D38" s="90"/>
      <c r="E38" s="90"/>
      <c r="F38" s="91" t="s">
        <v>225</v>
      </c>
      <c r="G38" s="70">
        <f t="shared" ref="G38:K38" si="2">SUM(G5:G37)</f>
        <v>129</v>
      </c>
      <c r="H38" s="71">
        <f t="shared" si="2"/>
        <v>100</v>
      </c>
      <c r="I38" s="70">
        <f t="shared" si="2"/>
        <v>100</v>
      </c>
      <c r="J38" s="71">
        <f t="shared" si="2"/>
        <v>132</v>
      </c>
      <c r="K38" s="70">
        <f t="shared" si="2"/>
        <v>115.25</v>
      </c>
    </row>
    <row r="39" ht="152.25" customHeight="1">
      <c r="A39" s="69"/>
      <c r="B39" s="69"/>
      <c r="C39" s="69"/>
      <c r="D39" s="90"/>
      <c r="E39" s="90"/>
      <c r="F39" s="91" t="s">
        <v>226</v>
      </c>
      <c r="G39" s="70">
        <f t="shared" ref="G39:K39" si="3">ROUND(AVERAGE(G5:G37), 2)</f>
        <v>3.91</v>
      </c>
      <c r="H39" s="70">
        <f t="shared" si="3"/>
        <v>3.03</v>
      </c>
      <c r="I39" s="70">
        <f t="shared" si="3"/>
        <v>3.03</v>
      </c>
      <c r="J39" s="70">
        <f t="shared" si="3"/>
        <v>4</v>
      </c>
      <c r="K39" s="70">
        <f t="shared" si="3"/>
        <v>3.49</v>
      </c>
    </row>
    <row r="40" ht="57.75" customHeight="1">
      <c r="A40" s="69"/>
      <c r="B40" s="69"/>
      <c r="C40" s="69"/>
      <c r="D40" s="90"/>
      <c r="E40" s="90"/>
      <c r="F40" s="91" t="s">
        <v>227</v>
      </c>
      <c r="G40" s="70">
        <f t="shared" ref="G40:K40" si="4">ROUND(_xlfn.STDEV.S(G5:G37),2)</f>
        <v>0.29</v>
      </c>
      <c r="H40" s="70">
        <f t="shared" si="4"/>
        <v>0.17</v>
      </c>
      <c r="I40" s="70">
        <f t="shared" si="4"/>
        <v>0.17</v>
      </c>
      <c r="J40" s="70">
        <f t="shared" si="4"/>
        <v>0</v>
      </c>
      <c r="K40" s="70">
        <f t="shared" si="4"/>
        <v>0.08</v>
      </c>
    </row>
    <row r="41" ht="54.75" customHeight="1">
      <c r="A41" s="69"/>
      <c r="B41" s="69"/>
      <c r="C41" s="69"/>
      <c r="D41" s="90"/>
      <c r="E41" s="90"/>
      <c r="F41" s="92" t="s">
        <v>228</v>
      </c>
      <c r="G41" s="70" t="str">
        <f t="shared" ref="G41:K41" si="5">TEXT(AVERAGE(G5:G37),"0.00")&amp;" ± "&amp;TEXT(_xlfn.STDEV.S(G5:G37),"0.00")</f>
        <v>3,91 ± 0,29</v>
      </c>
      <c r="H41" s="70" t="str">
        <f t="shared" si="5"/>
        <v>3,03 ± 0,17</v>
      </c>
      <c r="I41" s="70" t="str">
        <f t="shared" si="5"/>
        <v>3,03 ± 0,17</v>
      </c>
      <c r="J41" s="70" t="str">
        <f t="shared" si="5"/>
        <v>4,00 ± 0,00</v>
      </c>
      <c r="K41" s="70" t="str">
        <f t="shared" si="5"/>
        <v>3,49 ± 0,08</v>
      </c>
    </row>
    <row r="42" ht="56.25" customHeight="1">
      <c r="A42" s="69"/>
      <c r="B42" s="69"/>
      <c r="C42" s="69"/>
      <c r="D42" s="90"/>
      <c r="E42" s="90"/>
      <c r="F42" s="90"/>
      <c r="G42" s="70"/>
      <c r="H42" s="71"/>
      <c r="I42" s="70"/>
      <c r="J42" s="71"/>
      <c r="K42" s="70"/>
    </row>
    <row r="43" ht="60.0" customHeight="1">
      <c r="A43" s="69"/>
      <c r="B43" s="69"/>
      <c r="C43" s="69"/>
      <c r="D43" s="90"/>
      <c r="E43" s="90"/>
      <c r="F43" s="90"/>
      <c r="G43" s="70"/>
      <c r="H43" s="71"/>
      <c r="I43" s="70"/>
      <c r="J43" s="71"/>
      <c r="K43" s="70"/>
    </row>
    <row r="44" ht="59.25" customHeight="1">
      <c r="A44" s="69"/>
      <c r="B44" s="69"/>
      <c r="C44" s="69"/>
      <c r="D44" s="90"/>
      <c r="E44" s="90"/>
      <c r="F44" s="90"/>
      <c r="G44" s="70"/>
      <c r="H44" s="71"/>
      <c r="I44" s="70"/>
      <c r="J44" s="71"/>
      <c r="K44" s="70"/>
    </row>
    <row r="45" ht="58.5" customHeight="1">
      <c r="A45" s="69"/>
      <c r="B45" s="69"/>
      <c r="C45" s="69"/>
      <c r="D45" s="90"/>
      <c r="E45" s="90"/>
      <c r="F45" s="90"/>
      <c r="G45" s="70"/>
      <c r="H45" s="71"/>
      <c r="I45" s="70"/>
      <c r="J45" s="71"/>
      <c r="K45" s="70"/>
    </row>
    <row r="46" ht="52.5" customHeight="1">
      <c r="A46" s="69"/>
      <c r="B46" s="69"/>
      <c r="C46" s="69"/>
      <c r="D46" s="90"/>
      <c r="E46" s="90"/>
      <c r="F46" s="90"/>
      <c r="G46" s="70"/>
      <c r="H46" s="71"/>
      <c r="I46" s="70"/>
      <c r="J46" s="71"/>
      <c r="K46" s="70"/>
    </row>
    <row r="47" ht="131.25" customHeight="1">
      <c r="A47" s="69"/>
      <c r="B47" s="69"/>
      <c r="C47" s="69"/>
      <c r="D47" s="90"/>
      <c r="E47" s="90"/>
      <c r="F47" s="90"/>
      <c r="G47" s="70"/>
      <c r="H47" s="71"/>
      <c r="I47" s="70"/>
      <c r="J47" s="71"/>
      <c r="K47" s="70"/>
    </row>
    <row r="48" ht="147.0" customHeight="1">
      <c r="A48" s="69"/>
      <c r="B48" s="69"/>
      <c r="C48" s="69"/>
      <c r="D48" s="90"/>
      <c r="E48" s="90"/>
      <c r="F48" s="90"/>
      <c r="G48" s="70"/>
      <c r="H48" s="71"/>
      <c r="I48" s="70"/>
      <c r="J48" s="71"/>
      <c r="K48" s="70"/>
    </row>
    <row r="49" ht="152.25" customHeight="1">
      <c r="A49" s="69"/>
      <c r="B49" s="69"/>
      <c r="C49" s="69"/>
      <c r="D49" s="90"/>
      <c r="E49" s="90"/>
      <c r="F49" s="90"/>
      <c r="G49" s="70"/>
      <c r="H49" s="71"/>
      <c r="I49" s="70"/>
      <c r="J49" s="71"/>
      <c r="K49" s="70"/>
    </row>
    <row r="50" ht="149.25" customHeight="1">
      <c r="A50" s="69"/>
      <c r="B50" s="69"/>
      <c r="C50" s="69"/>
      <c r="D50" s="90"/>
      <c r="E50" s="90"/>
      <c r="F50" s="90"/>
      <c r="G50" s="70"/>
      <c r="H50" s="71"/>
      <c r="I50" s="70"/>
      <c r="J50" s="71"/>
      <c r="K50" s="70"/>
    </row>
    <row r="51" ht="121.5" customHeight="1">
      <c r="A51" s="69"/>
      <c r="B51" s="69"/>
      <c r="C51" s="69"/>
      <c r="D51" s="90"/>
      <c r="E51" s="90"/>
      <c r="F51" s="90"/>
      <c r="G51" s="70"/>
      <c r="H51" s="71"/>
      <c r="I51" s="70"/>
      <c r="J51" s="71"/>
      <c r="K51" s="70"/>
    </row>
    <row r="52" ht="125.25" customHeight="1">
      <c r="A52" s="69"/>
      <c r="B52" s="69"/>
      <c r="C52" s="69"/>
      <c r="D52" s="90"/>
      <c r="E52" s="90"/>
      <c r="F52" s="90"/>
      <c r="G52" s="70"/>
      <c r="H52" s="71"/>
      <c r="I52" s="70"/>
      <c r="J52" s="71"/>
      <c r="K52" s="70"/>
    </row>
    <row r="53" ht="126.0" customHeight="1">
      <c r="A53" s="69"/>
      <c r="B53" s="69"/>
      <c r="C53" s="69"/>
      <c r="D53" s="90"/>
      <c r="E53" s="90"/>
      <c r="F53" s="90"/>
      <c r="G53" s="70"/>
      <c r="H53" s="71"/>
      <c r="I53" s="70"/>
      <c r="J53" s="71"/>
      <c r="K53" s="70"/>
    </row>
    <row r="54" ht="129.0" customHeight="1">
      <c r="A54" s="69"/>
      <c r="B54" s="69"/>
      <c r="C54" s="69"/>
      <c r="D54" s="90"/>
      <c r="E54" s="90"/>
      <c r="F54" s="90"/>
      <c r="G54" s="70"/>
      <c r="H54" s="71"/>
      <c r="I54" s="70"/>
      <c r="J54" s="71"/>
      <c r="K54" s="70"/>
    </row>
    <row r="55" ht="166.5" customHeight="1">
      <c r="A55" s="69"/>
      <c r="B55" s="69"/>
      <c r="C55" s="69"/>
      <c r="D55" s="90"/>
      <c r="E55" s="90"/>
      <c r="F55" s="90"/>
      <c r="G55" s="70"/>
      <c r="H55" s="71"/>
      <c r="I55" s="70"/>
      <c r="J55" s="71"/>
      <c r="K55" s="70"/>
    </row>
    <row r="56" ht="117.75" customHeight="1">
      <c r="A56" s="69"/>
      <c r="B56" s="69"/>
      <c r="C56" s="69"/>
      <c r="D56" s="90"/>
      <c r="E56" s="90"/>
      <c r="F56" s="90"/>
      <c r="G56" s="70"/>
      <c r="H56" s="71"/>
      <c r="I56" s="70"/>
      <c r="J56" s="71"/>
      <c r="K56" s="70"/>
    </row>
    <row r="57" ht="123.0" customHeight="1">
      <c r="A57" s="69"/>
      <c r="B57" s="69"/>
      <c r="C57" s="69"/>
      <c r="D57" s="90"/>
      <c r="E57" s="90"/>
      <c r="F57" s="90"/>
      <c r="G57" s="70"/>
      <c r="H57" s="71"/>
      <c r="I57" s="70"/>
      <c r="J57" s="71"/>
      <c r="K57" s="70"/>
    </row>
    <row r="58" ht="121.5" customHeight="1">
      <c r="A58" s="69"/>
      <c r="B58" s="69"/>
      <c r="C58" s="69"/>
      <c r="D58" s="90"/>
      <c r="E58" s="90"/>
      <c r="F58" s="90"/>
      <c r="G58" s="70"/>
      <c r="H58" s="71"/>
      <c r="I58" s="70"/>
      <c r="J58" s="71"/>
      <c r="K58" s="70"/>
    </row>
    <row r="59" ht="140.25" customHeight="1">
      <c r="A59" s="69"/>
      <c r="B59" s="69"/>
      <c r="C59" s="69"/>
      <c r="D59" s="90"/>
      <c r="E59" s="90"/>
      <c r="F59" s="90"/>
      <c r="G59" s="70"/>
      <c r="H59" s="71"/>
      <c r="I59" s="70"/>
      <c r="J59" s="71"/>
      <c r="K59" s="70"/>
    </row>
    <row r="60" ht="142.5" customHeight="1">
      <c r="A60" s="69"/>
      <c r="B60" s="69"/>
      <c r="C60" s="69"/>
      <c r="D60" s="90"/>
      <c r="E60" s="90"/>
      <c r="F60" s="90"/>
      <c r="G60" s="70"/>
      <c r="H60" s="71"/>
      <c r="I60" s="70"/>
      <c r="J60" s="71"/>
      <c r="K60" s="70"/>
    </row>
    <row r="61" ht="139.5" customHeight="1">
      <c r="A61" s="69"/>
      <c r="B61" s="69"/>
      <c r="C61" s="69"/>
      <c r="D61" s="90"/>
      <c r="E61" s="90"/>
      <c r="F61" s="90"/>
      <c r="G61" s="70"/>
      <c r="H61" s="71"/>
      <c r="I61" s="70"/>
      <c r="J61" s="71"/>
      <c r="K61" s="70"/>
    </row>
    <row r="62" ht="124.5" customHeight="1">
      <c r="A62" s="69"/>
      <c r="B62" s="69"/>
      <c r="C62" s="69"/>
      <c r="D62" s="90"/>
      <c r="E62" s="90"/>
      <c r="F62" s="90"/>
      <c r="G62" s="70"/>
      <c r="H62" s="71"/>
      <c r="I62" s="70"/>
      <c r="J62" s="71"/>
      <c r="K62" s="70"/>
    </row>
    <row r="63" ht="128.25" customHeight="1">
      <c r="A63" s="69"/>
      <c r="B63" s="69"/>
      <c r="C63" s="69"/>
      <c r="D63" s="90"/>
      <c r="E63" s="90"/>
      <c r="F63" s="90"/>
      <c r="G63" s="70"/>
      <c r="H63" s="71"/>
      <c r="I63" s="70"/>
      <c r="J63" s="71"/>
      <c r="K63" s="70"/>
    </row>
    <row r="64" ht="129.75" customHeight="1">
      <c r="A64" s="69"/>
      <c r="B64" s="69"/>
      <c r="C64" s="69"/>
      <c r="D64" s="90"/>
      <c r="E64" s="90"/>
      <c r="F64" s="90"/>
      <c r="G64" s="70"/>
      <c r="H64" s="71"/>
      <c r="I64" s="70"/>
      <c r="J64" s="71"/>
      <c r="K64" s="70"/>
    </row>
    <row r="65" ht="144.0" customHeight="1">
      <c r="A65" s="69"/>
      <c r="B65" s="69"/>
      <c r="C65" s="69"/>
      <c r="D65" s="90"/>
      <c r="E65" s="90"/>
      <c r="F65" s="90"/>
      <c r="G65" s="70"/>
      <c r="H65" s="71"/>
      <c r="I65" s="70"/>
      <c r="J65" s="71"/>
      <c r="K65" s="70"/>
    </row>
    <row r="66" ht="129.75" customHeight="1">
      <c r="A66" s="69"/>
      <c r="B66" s="69"/>
      <c r="C66" s="69"/>
      <c r="D66" s="90"/>
      <c r="E66" s="90"/>
      <c r="F66" s="90"/>
      <c r="G66" s="70"/>
      <c r="H66" s="71"/>
      <c r="I66" s="70"/>
      <c r="J66" s="71"/>
      <c r="K66" s="70"/>
    </row>
    <row r="67" ht="121.5" customHeight="1">
      <c r="A67" s="69"/>
      <c r="B67" s="69"/>
      <c r="C67" s="69"/>
      <c r="D67" s="90"/>
      <c r="E67" s="90"/>
      <c r="F67" s="90"/>
      <c r="G67" s="70"/>
      <c r="H67" s="71"/>
      <c r="I67" s="70"/>
      <c r="J67" s="71"/>
      <c r="K67" s="70"/>
    </row>
    <row r="68" ht="179.25" customHeight="1">
      <c r="A68" s="69"/>
      <c r="B68" s="69"/>
      <c r="C68" s="69"/>
      <c r="D68" s="90"/>
      <c r="E68" s="90"/>
      <c r="F68" s="90"/>
      <c r="G68" s="70"/>
      <c r="H68" s="71"/>
      <c r="I68" s="70"/>
      <c r="J68" s="71"/>
      <c r="K68" s="70"/>
    </row>
    <row r="69" ht="57.0" customHeight="1">
      <c r="A69" s="69"/>
      <c r="B69" s="95"/>
      <c r="C69" s="96"/>
      <c r="D69" s="90"/>
      <c r="E69" s="90"/>
      <c r="F69" s="90"/>
      <c r="G69" s="70"/>
      <c r="H69" s="71"/>
      <c r="I69" s="70"/>
      <c r="J69" s="71"/>
      <c r="K69" s="70"/>
    </row>
    <row r="70" ht="45.75" customHeight="1">
      <c r="A70" s="69"/>
      <c r="B70" s="97"/>
      <c r="C70" s="96"/>
      <c r="D70" s="90"/>
      <c r="E70" s="90"/>
      <c r="F70" s="90"/>
      <c r="G70" s="70"/>
      <c r="H70" s="71"/>
      <c r="I70" s="70"/>
      <c r="J70" s="71"/>
      <c r="K70" s="70"/>
    </row>
    <row r="71" ht="47.25" customHeight="1">
      <c r="A71" s="69"/>
      <c r="B71" s="97"/>
      <c r="C71" s="96"/>
      <c r="D71" s="90"/>
      <c r="E71" s="90"/>
      <c r="F71" s="90"/>
      <c r="G71" s="70"/>
      <c r="H71" s="71"/>
      <c r="I71" s="70"/>
      <c r="J71" s="71"/>
      <c r="K71" s="70"/>
    </row>
    <row r="72" ht="139.5" customHeight="1">
      <c r="A72" s="69"/>
      <c r="B72" s="97"/>
      <c r="C72" s="96"/>
      <c r="D72" s="90"/>
      <c r="E72" s="90"/>
      <c r="F72" s="90"/>
      <c r="G72" s="70"/>
      <c r="H72" s="71"/>
      <c r="I72" s="70"/>
      <c r="J72" s="71"/>
      <c r="K72" s="70"/>
    </row>
    <row r="73" ht="138.0" customHeight="1">
      <c r="A73" s="69"/>
      <c r="B73" s="97"/>
      <c r="C73" s="96"/>
      <c r="D73" s="90"/>
      <c r="E73" s="90"/>
      <c r="F73" s="90"/>
      <c r="G73" s="70"/>
      <c r="H73" s="71"/>
      <c r="I73" s="70"/>
      <c r="J73" s="71"/>
      <c r="K73" s="70"/>
    </row>
    <row r="74" ht="129.0" customHeight="1">
      <c r="A74" s="69"/>
      <c r="B74" s="97"/>
      <c r="C74" s="96"/>
      <c r="D74" s="90"/>
      <c r="E74" s="90"/>
      <c r="F74" s="90"/>
      <c r="G74" s="70"/>
      <c r="H74" s="71"/>
      <c r="I74" s="70"/>
      <c r="J74" s="71"/>
      <c r="K74" s="70"/>
    </row>
    <row r="75" ht="123.75" customHeight="1">
      <c r="A75" s="69"/>
      <c r="B75" s="97"/>
      <c r="C75" s="96"/>
      <c r="D75" s="90"/>
      <c r="E75" s="90"/>
      <c r="F75" s="90"/>
      <c r="G75" s="70"/>
      <c r="H75" s="71"/>
      <c r="I75" s="70"/>
      <c r="J75" s="71"/>
      <c r="K75" s="70"/>
    </row>
    <row r="76" ht="147.75" customHeight="1">
      <c r="A76" s="69"/>
      <c r="B76" s="97"/>
      <c r="C76" s="96"/>
      <c r="D76" s="90"/>
      <c r="E76" s="90"/>
      <c r="F76" s="90"/>
      <c r="G76" s="70"/>
      <c r="H76" s="71"/>
      <c r="I76" s="70"/>
      <c r="J76" s="71"/>
      <c r="K76" s="70"/>
    </row>
    <row r="77" ht="90.0" customHeight="1">
      <c r="A77" s="75"/>
      <c r="B77" s="75"/>
      <c r="C77" s="75"/>
      <c r="D77" s="79"/>
      <c r="E77" s="79"/>
      <c r="F77" s="79"/>
      <c r="G77" s="77"/>
      <c r="H77" s="79"/>
    </row>
    <row r="78" ht="90.0" customHeight="1">
      <c r="A78" s="80"/>
      <c r="B78" s="80"/>
      <c r="C78" s="80"/>
      <c r="D78" s="84"/>
      <c r="E78" s="84"/>
      <c r="F78" s="84"/>
      <c r="G78" s="82"/>
      <c r="H78" s="84"/>
    </row>
    <row r="79" ht="127.5" customHeight="1"/>
    <row r="80" ht="138.75" customHeight="1"/>
    <row r="81" ht="132.75" customHeight="1"/>
    <row r="82" ht="116.25" customHeight="1"/>
    <row r="83" ht="140.25"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L1"/>
    <mergeCell ref="A2:L2"/>
  </mergeCells>
  <dataValidations>
    <dataValidation type="list" allowBlank="1" showErrorMessage="1" sqref="G5:J37">
      <formula1>$A$5:$A$8</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4.43"/>
    <col customWidth="1" min="3" max="3" width="26.57"/>
    <col customWidth="1" min="4" max="4" width="30.43"/>
    <col customWidth="1" min="5" max="5" width="23.86"/>
    <col customWidth="1" min="6" max="6" width="20.14"/>
    <col customWidth="1" min="7" max="21" width="8.71"/>
  </cols>
  <sheetData>
    <row r="1" ht="30.0" customHeight="1">
      <c r="A1" s="6" t="s">
        <v>2</v>
      </c>
      <c r="B1" s="8"/>
      <c r="C1" s="8"/>
      <c r="D1" s="8"/>
      <c r="E1" s="8"/>
      <c r="F1" s="8"/>
      <c r="G1" s="10"/>
    </row>
    <row r="2" ht="24.75" customHeight="1">
      <c r="A2" s="11" t="s">
        <v>8</v>
      </c>
      <c r="B2" s="8"/>
      <c r="C2" s="8"/>
      <c r="D2" s="8"/>
      <c r="E2" s="8"/>
      <c r="F2" s="8"/>
      <c r="G2" s="10"/>
    </row>
    <row r="3" ht="7.5" customHeight="1"/>
    <row r="4" ht="50.25" customHeight="1">
      <c r="A4" s="12" t="s">
        <v>11</v>
      </c>
      <c r="B4" s="12" t="s">
        <v>17</v>
      </c>
      <c r="C4" s="12" t="s">
        <v>18</v>
      </c>
      <c r="D4" s="12" t="s">
        <v>19</v>
      </c>
      <c r="E4" s="12" t="s">
        <v>20</v>
      </c>
      <c r="F4" s="12" t="s">
        <v>21</v>
      </c>
    </row>
    <row r="5" ht="176.25" customHeight="1">
      <c r="A5" s="16">
        <v>1.0</v>
      </c>
      <c r="B5" s="27">
        <v>3.0</v>
      </c>
      <c r="C5" s="27">
        <v>3.0</v>
      </c>
      <c r="D5" s="27">
        <v>3.0</v>
      </c>
      <c r="E5" s="27">
        <v>4.0</v>
      </c>
      <c r="F5" s="30">
        <f t="shared" ref="F5:F37" si="1">AVERAGE(B5:E5)</f>
        <v>3.25</v>
      </c>
    </row>
    <row r="6" ht="131.25" customHeight="1">
      <c r="A6" s="37">
        <v>2.0</v>
      </c>
      <c r="B6" s="27">
        <v>3.0</v>
      </c>
      <c r="C6" s="27">
        <v>3.0</v>
      </c>
      <c r="D6" s="27">
        <v>3.0</v>
      </c>
      <c r="E6" s="27">
        <v>4.0</v>
      </c>
      <c r="F6" s="30">
        <f t="shared" si="1"/>
        <v>3.25</v>
      </c>
    </row>
    <row r="7" ht="143.25" customHeight="1">
      <c r="A7" s="16">
        <v>3.0</v>
      </c>
      <c r="B7" s="27">
        <v>4.0</v>
      </c>
      <c r="C7" s="27">
        <v>3.0</v>
      </c>
      <c r="D7" s="27">
        <v>4.0</v>
      </c>
      <c r="E7" s="27">
        <v>4.0</v>
      </c>
      <c r="F7" s="30">
        <f t="shared" si="1"/>
        <v>3.75</v>
      </c>
    </row>
    <row r="8" ht="166.5" customHeight="1">
      <c r="A8" s="37">
        <v>4.0</v>
      </c>
      <c r="B8" s="27">
        <v>4.0</v>
      </c>
      <c r="C8" s="27">
        <v>3.0</v>
      </c>
      <c r="D8" s="27">
        <v>3.0</v>
      </c>
      <c r="E8" s="27">
        <v>4.0</v>
      </c>
      <c r="F8" s="30">
        <f t="shared" si="1"/>
        <v>3.5</v>
      </c>
    </row>
    <row r="9" ht="227.25" customHeight="1">
      <c r="A9" s="16">
        <v>5.0</v>
      </c>
      <c r="B9" s="27">
        <v>3.0</v>
      </c>
      <c r="C9" s="27">
        <v>4.0</v>
      </c>
      <c r="D9" s="27">
        <v>3.0</v>
      </c>
      <c r="E9" s="27">
        <v>4.0</v>
      </c>
      <c r="F9" s="30">
        <f t="shared" si="1"/>
        <v>3.5</v>
      </c>
    </row>
    <row r="10" ht="141.0" customHeight="1">
      <c r="A10" s="37">
        <v>6.0</v>
      </c>
      <c r="B10" s="49">
        <v>4.0</v>
      </c>
      <c r="C10" s="49">
        <v>3.0</v>
      </c>
      <c r="D10" s="49">
        <v>3.0</v>
      </c>
      <c r="E10" s="49">
        <v>4.0</v>
      </c>
      <c r="F10" s="30">
        <f t="shared" si="1"/>
        <v>3.5</v>
      </c>
    </row>
    <row r="11" ht="170.25" customHeight="1">
      <c r="A11" s="16">
        <v>7.0</v>
      </c>
      <c r="B11" s="49">
        <v>4.0</v>
      </c>
      <c r="C11" s="49">
        <v>3.0</v>
      </c>
      <c r="D11" s="49">
        <v>3.0</v>
      </c>
      <c r="E11" s="49">
        <v>4.0</v>
      </c>
      <c r="F11" s="30">
        <f t="shared" si="1"/>
        <v>3.5</v>
      </c>
    </row>
    <row r="12" ht="143.25" customHeight="1">
      <c r="A12" s="37">
        <v>8.0</v>
      </c>
      <c r="B12" s="49">
        <v>4.0</v>
      </c>
      <c r="C12" s="49">
        <v>3.0</v>
      </c>
      <c r="D12" s="49">
        <v>3.0</v>
      </c>
      <c r="E12" s="49">
        <v>4.0</v>
      </c>
      <c r="F12" s="30">
        <f t="shared" si="1"/>
        <v>3.5</v>
      </c>
    </row>
    <row r="13" ht="209.25" customHeight="1">
      <c r="A13" s="16">
        <v>9.0</v>
      </c>
      <c r="B13" s="49">
        <v>4.0</v>
      </c>
      <c r="C13" s="49">
        <v>3.0</v>
      </c>
      <c r="D13" s="49">
        <v>3.0</v>
      </c>
      <c r="E13" s="49">
        <v>4.0</v>
      </c>
      <c r="F13" s="30">
        <f t="shared" si="1"/>
        <v>3.5</v>
      </c>
    </row>
    <row r="14" ht="177.75" customHeight="1">
      <c r="A14" s="37">
        <v>10.0</v>
      </c>
      <c r="B14" s="49">
        <v>4.0</v>
      </c>
      <c r="C14" s="49">
        <v>3.0</v>
      </c>
      <c r="D14" s="49">
        <v>3.0</v>
      </c>
      <c r="E14" s="49">
        <v>4.0</v>
      </c>
      <c r="F14" s="30">
        <f t="shared" si="1"/>
        <v>3.5</v>
      </c>
    </row>
    <row r="15" ht="153.75" customHeight="1">
      <c r="A15" s="16">
        <v>11.0</v>
      </c>
      <c r="B15" s="49">
        <v>4.0</v>
      </c>
      <c r="C15" s="49">
        <v>3.0</v>
      </c>
      <c r="D15" s="49">
        <v>3.0</v>
      </c>
      <c r="E15" s="49">
        <v>4.0</v>
      </c>
      <c r="F15" s="30">
        <f t="shared" si="1"/>
        <v>3.5</v>
      </c>
    </row>
    <row r="16" ht="192.75" customHeight="1">
      <c r="A16" s="37">
        <v>12.0</v>
      </c>
      <c r="B16" s="49">
        <v>4.0</v>
      </c>
      <c r="C16" s="49">
        <v>3.0</v>
      </c>
      <c r="D16" s="49">
        <v>3.0</v>
      </c>
      <c r="E16" s="49">
        <v>4.0</v>
      </c>
      <c r="F16" s="30">
        <f t="shared" si="1"/>
        <v>3.5</v>
      </c>
    </row>
    <row r="17" ht="201.75" customHeight="1">
      <c r="A17" s="16">
        <v>13.0</v>
      </c>
      <c r="B17" s="49">
        <v>4.0</v>
      </c>
      <c r="C17" s="49">
        <v>3.0</v>
      </c>
      <c r="D17" s="49">
        <v>3.0</v>
      </c>
      <c r="E17" s="49">
        <v>4.0</v>
      </c>
      <c r="F17" s="30">
        <f t="shared" si="1"/>
        <v>3.5</v>
      </c>
    </row>
    <row r="18" ht="171.75" customHeight="1">
      <c r="A18" s="37">
        <v>14.0</v>
      </c>
      <c r="B18" s="49">
        <v>4.0</v>
      </c>
      <c r="C18" s="49">
        <v>3.0</v>
      </c>
      <c r="D18" s="49">
        <v>3.0</v>
      </c>
      <c r="E18" s="49">
        <v>4.0</v>
      </c>
      <c r="F18" s="30">
        <f t="shared" si="1"/>
        <v>3.5</v>
      </c>
    </row>
    <row r="19" ht="168.75" customHeight="1">
      <c r="A19" s="16">
        <v>15.0</v>
      </c>
      <c r="B19" s="49">
        <v>4.0</v>
      </c>
      <c r="C19" s="49">
        <v>3.0</v>
      </c>
      <c r="D19" s="49">
        <v>3.0</v>
      </c>
      <c r="E19" s="49">
        <v>4.0</v>
      </c>
      <c r="F19" s="30">
        <f t="shared" si="1"/>
        <v>3.5</v>
      </c>
    </row>
    <row r="20" ht="209.25" customHeight="1">
      <c r="A20" s="37">
        <v>16.0</v>
      </c>
      <c r="B20" s="49">
        <v>4.0</v>
      </c>
      <c r="C20" s="49">
        <v>3.0</v>
      </c>
      <c r="D20" s="49">
        <v>3.0</v>
      </c>
      <c r="E20" s="49">
        <v>4.0</v>
      </c>
      <c r="F20" s="30">
        <f t="shared" si="1"/>
        <v>3.5</v>
      </c>
    </row>
    <row r="21" ht="128.25" customHeight="1">
      <c r="A21" s="16">
        <v>17.0</v>
      </c>
      <c r="B21" s="49">
        <v>4.0</v>
      </c>
      <c r="C21" s="49">
        <v>3.0</v>
      </c>
      <c r="D21" s="49">
        <v>3.0</v>
      </c>
      <c r="E21" s="49">
        <v>4.0</v>
      </c>
      <c r="F21" s="30">
        <f t="shared" si="1"/>
        <v>3.5</v>
      </c>
    </row>
    <row r="22" ht="186.75" customHeight="1">
      <c r="A22" s="37">
        <v>18.0</v>
      </c>
      <c r="B22" s="49">
        <v>4.0</v>
      </c>
      <c r="C22" s="49">
        <v>3.0</v>
      </c>
      <c r="D22" s="49">
        <v>3.0</v>
      </c>
      <c r="E22" s="49">
        <v>4.0</v>
      </c>
      <c r="F22" s="30">
        <f t="shared" si="1"/>
        <v>3.5</v>
      </c>
    </row>
    <row r="23" ht="162.0" customHeight="1">
      <c r="A23" s="16">
        <v>19.0</v>
      </c>
      <c r="B23" s="49">
        <v>4.0</v>
      </c>
      <c r="C23" s="49">
        <v>3.0</v>
      </c>
      <c r="D23" s="49">
        <v>3.0</v>
      </c>
      <c r="E23" s="49">
        <v>4.0</v>
      </c>
      <c r="F23" s="30">
        <f t="shared" si="1"/>
        <v>3.5</v>
      </c>
    </row>
    <row r="24" ht="226.5" customHeight="1">
      <c r="A24" s="37">
        <v>20.0</v>
      </c>
      <c r="B24" s="49">
        <v>4.0</v>
      </c>
      <c r="C24" s="49">
        <v>3.0</v>
      </c>
      <c r="D24" s="49">
        <v>3.0</v>
      </c>
      <c r="E24" s="49">
        <v>4.0</v>
      </c>
      <c r="F24" s="30">
        <f t="shared" si="1"/>
        <v>3.5</v>
      </c>
    </row>
    <row r="25" ht="186.75" customHeight="1">
      <c r="A25" s="16">
        <v>21.0</v>
      </c>
      <c r="B25" s="49">
        <v>4.0</v>
      </c>
      <c r="C25" s="49">
        <v>3.0</v>
      </c>
      <c r="D25" s="49">
        <v>3.0</v>
      </c>
      <c r="E25" s="49">
        <v>4.0</v>
      </c>
      <c r="F25" s="30">
        <f t="shared" si="1"/>
        <v>3.5</v>
      </c>
    </row>
    <row r="26" ht="175.5" customHeight="1">
      <c r="A26" s="37">
        <v>22.0</v>
      </c>
      <c r="B26" s="49">
        <v>4.0</v>
      </c>
      <c r="C26" s="49">
        <v>3.0</v>
      </c>
      <c r="D26" s="49">
        <v>3.0</v>
      </c>
      <c r="E26" s="49">
        <v>4.0</v>
      </c>
      <c r="F26" s="30">
        <f t="shared" si="1"/>
        <v>3.5</v>
      </c>
    </row>
    <row r="27" ht="153.75" customHeight="1">
      <c r="A27" s="16">
        <v>23.0</v>
      </c>
      <c r="B27" s="49">
        <v>4.0</v>
      </c>
      <c r="C27" s="49">
        <v>3.0</v>
      </c>
      <c r="D27" s="49">
        <v>3.0</v>
      </c>
      <c r="E27" s="49">
        <v>4.0</v>
      </c>
      <c r="F27" s="30">
        <f t="shared" si="1"/>
        <v>3.5</v>
      </c>
    </row>
    <row r="28" ht="216.0" customHeight="1">
      <c r="A28" s="37">
        <v>24.0</v>
      </c>
      <c r="B28" s="49">
        <v>4.0</v>
      </c>
      <c r="C28" s="49">
        <v>3.0</v>
      </c>
      <c r="D28" s="49">
        <v>3.0</v>
      </c>
      <c r="E28" s="49">
        <v>4.0</v>
      </c>
      <c r="F28" s="30">
        <f t="shared" si="1"/>
        <v>3.5</v>
      </c>
    </row>
    <row r="29" ht="172.5" customHeight="1">
      <c r="A29" s="16">
        <v>25.0</v>
      </c>
      <c r="B29" s="49">
        <v>4.0</v>
      </c>
      <c r="C29" s="49">
        <v>3.0</v>
      </c>
      <c r="D29" s="49">
        <v>3.0</v>
      </c>
      <c r="E29" s="49">
        <v>4.0</v>
      </c>
      <c r="F29" s="30">
        <f t="shared" si="1"/>
        <v>3.5</v>
      </c>
    </row>
    <row r="30" ht="188.25" customHeight="1">
      <c r="A30" s="37">
        <v>26.0</v>
      </c>
      <c r="B30" s="49">
        <v>4.0</v>
      </c>
      <c r="C30" s="49">
        <v>3.0</v>
      </c>
      <c r="D30" s="49">
        <v>3.0</v>
      </c>
      <c r="E30" s="49">
        <v>4.0</v>
      </c>
      <c r="F30" s="30">
        <f t="shared" si="1"/>
        <v>3.5</v>
      </c>
    </row>
    <row r="31" ht="207.75" customHeight="1">
      <c r="A31" s="16">
        <v>27.0</v>
      </c>
      <c r="B31" s="49">
        <v>4.0</v>
      </c>
      <c r="C31" s="49">
        <v>3.0</v>
      </c>
      <c r="D31" s="49">
        <v>3.0</v>
      </c>
      <c r="E31" s="49">
        <v>4.0</v>
      </c>
      <c r="F31" s="30">
        <f t="shared" si="1"/>
        <v>3.5</v>
      </c>
    </row>
    <row r="32" ht="174.0" customHeight="1">
      <c r="A32" s="37">
        <v>28.0</v>
      </c>
      <c r="B32" s="49">
        <v>4.0</v>
      </c>
      <c r="C32" s="49">
        <v>3.0</v>
      </c>
      <c r="D32" s="49">
        <v>3.0</v>
      </c>
      <c r="E32" s="49">
        <v>4.0</v>
      </c>
      <c r="F32" s="30">
        <f t="shared" si="1"/>
        <v>3.5</v>
      </c>
    </row>
    <row r="33" ht="195.75" customHeight="1">
      <c r="A33" s="16">
        <v>29.0</v>
      </c>
      <c r="B33" s="49">
        <v>4.0</v>
      </c>
      <c r="C33" s="49">
        <v>3.0</v>
      </c>
      <c r="D33" s="49">
        <v>3.0</v>
      </c>
      <c r="E33" s="49">
        <v>4.0</v>
      </c>
      <c r="F33" s="30">
        <f t="shared" si="1"/>
        <v>3.5</v>
      </c>
    </row>
    <row r="34" ht="212.25" customHeight="1">
      <c r="A34" s="37">
        <v>30.0</v>
      </c>
      <c r="B34" s="49">
        <v>4.0</v>
      </c>
      <c r="C34" s="49">
        <v>3.0</v>
      </c>
      <c r="D34" s="49">
        <v>3.0</v>
      </c>
      <c r="E34" s="49">
        <v>4.0</v>
      </c>
      <c r="F34" s="30">
        <f t="shared" si="1"/>
        <v>3.5</v>
      </c>
    </row>
    <row r="35" ht="190.5" customHeight="1">
      <c r="A35" s="16">
        <v>31.0</v>
      </c>
      <c r="B35" s="49">
        <v>4.0</v>
      </c>
      <c r="C35" s="49">
        <v>3.0</v>
      </c>
      <c r="D35" s="49">
        <v>3.0</v>
      </c>
      <c r="E35" s="49">
        <v>4.0</v>
      </c>
      <c r="F35" s="30">
        <f t="shared" si="1"/>
        <v>3.5</v>
      </c>
    </row>
    <row r="36" ht="177.75" customHeight="1">
      <c r="A36" s="37">
        <v>32.0</v>
      </c>
      <c r="B36" s="49">
        <v>4.0</v>
      </c>
      <c r="C36" s="49">
        <v>3.0</v>
      </c>
      <c r="D36" s="49">
        <v>3.0</v>
      </c>
      <c r="E36" s="49">
        <v>4.0</v>
      </c>
      <c r="F36" s="67">
        <f t="shared" si="1"/>
        <v>3.5</v>
      </c>
    </row>
    <row r="37" ht="143.25" customHeight="1">
      <c r="A37" s="16">
        <v>33.0</v>
      </c>
      <c r="B37" s="49">
        <v>4.0</v>
      </c>
      <c r="C37" s="49">
        <v>3.0</v>
      </c>
      <c r="D37" s="49">
        <v>3.0</v>
      </c>
      <c r="E37" s="49">
        <v>4.0</v>
      </c>
      <c r="F37" s="68">
        <f t="shared" si="1"/>
        <v>3.5</v>
      </c>
    </row>
    <row r="38" ht="90.0" customHeight="1">
      <c r="A38" s="69"/>
      <c r="B38" s="70">
        <f t="shared" ref="B38:F38" si="2">SUM(B5:B37)</f>
        <v>129</v>
      </c>
      <c r="C38" s="71">
        <f t="shared" si="2"/>
        <v>100</v>
      </c>
      <c r="D38" s="70">
        <f t="shared" si="2"/>
        <v>100</v>
      </c>
      <c r="E38" s="71">
        <f t="shared" si="2"/>
        <v>132</v>
      </c>
      <c r="F38" s="70">
        <f t="shared" si="2"/>
        <v>115.25</v>
      </c>
    </row>
    <row r="39" ht="152.25" customHeight="1">
      <c r="A39" s="69"/>
      <c r="B39" s="70">
        <f t="shared" ref="B39:F39" si="3">ROUND(AVERAGE(B5:B37), 2)</f>
        <v>3.91</v>
      </c>
      <c r="C39" s="70">
        <f t="shared" si="3"/>
        <v>3.03</v>
      </c>
      <c r="D39" s="70">
        <f t="shared" si="3"/>
        <v>3.03</v>
      </c>
      <c r="E39" s="70">
        <f t="shared" si="3"/>
        <v>4</v>
      </c>
      <c r="F39" s="70">
        <f t="shared" si="3"/>
        <v>3.49</v>
      </c>
    </row>
    <row r="40" ht="57.75" customHeight="1">
      <c r="A40" s="69"/>
      <c r="B40" s="70">
        <f t="shared" ref="B40:F40" si="4">ROUND(_xlfn.STDEV.S(B5:B37),2)</f>
        <v>0.29</v>
      </c>
      <c r="C40" s="70">
        <f t="shared" si="4"/>
        <v>0.17</v>
      </c>
      <c r="D40" s="70">
        <f t="shared" si="4"/>
        <v>0.17</v>
      </c>
      <c r="E40" s="70">
        <f t="shared" si="4"/>
        <v>0</v>
      </c>
      <c r="F40" s="70">
        <f t="shared" si="4"/>
        <v>0.08</v>
      </c>
    </row>
    <row r="41" ht="54.75" customHeight="1">
      <c r="A41" s="69"/>
      <c r="B41" s="70" t="str">
        <f t="shared" ref="B41:F41" si="5">TEXT(AVERAGE(B5:B37),"0.00")&amp;" ± "&amp;TEXT(_xlfn.STDEV.S(B5:B37),"0.00")</f>
        <v>3,91 ± 0,29</v>
      </c>
      <c r="C41" s="70" t="str">
        <f t="shared" si="5"/>
        <v>3,03 ± 0,17</v>
      </c>
      <c r="D41" s="70" t="str">
        <f t="shared" si="5"/>
        <v>3,03 ± 0,17</v>
      </c>
      <c r="E41" s="70" t="str">
        <f t="shared" si="5"/>
        <v>4,00 ± 0,00</v>
      </c>
      <c r="F41" s="70" t="str">
        <f t="shared" si="5"/>
        <v>3,49 ± 0,08</v>
      </c>
    </row>
    <row r="42" ht="56.25" customHeight="1">
      <c r="A42" s="69"/>
      <c r="B42" s="70"/>
      <c r="C42" s="71"/>
      <c r="D42" s="70"/>
      <c r="E42" s="71"/>
      <c r="F42" s="70"/>
    </row>
    <row r="43" ht="60.0" customHeight="1">
      <c r="A43" s="69"/>
      <c r="B43" s="70"/>
      <c r="C43" s="71"/>
      <c r="D43" s="70"/>
      <c r="E43" s="71"/>
      <c r="F43" s="70"/>
    </row>
    <row r="44" ht="59.25" customHeight="1">
      <c r="A44" s="69"/>
      <c r="B44" s="70"/>
      <c r="C44" s="71"/>
      <c r="D44" s="70"/>
      <c r="E44" s="71"/>
      <c r="F44" s="70"/>
    </row>
    <row r="45" ht="58.5" customHeight="1">
      <c r="A45" s="69"/>
      <c r="B45" s="70"/>
      <c r="C45" s="71"/>
      <c r="D45" s="70"/>
      <c r="E45" s="71"/>
      <c r="F45" s="70"/>
    </row>
    <row r="46" ht="52.5" customHeight="1">
      <c r="A46" s="69"/>
      <c r="B46" s="70"/>
      <c r="C46" s="71"/>
      <c r="D46" s="70"/>
      <c r="E46" s="71"/>
      <c r="F46" s="70"/>
    </row>
    <row r="47" ht="131.25" customHeight="1">
      <c r="A47" s="69"/>
      <c r="B47" s="70"/>
      <c r="C47" s="71"/>
      <c r="D47" s="70"/>
      <c r="E47" s="71"/>
      <c r="F47" s="70"/>
    </row>
    <row r="48" ht="147.0" customHeight="1">
      <c r="A48" s="69"/>
      <c r="B48" s="70"/>
      <c r="C48" s="71"/>
      <c r="D48" s="70"/>
      <c r="E48" s="71"/>
      <c r="F48" s="70"/>
    </row>
    <row r="49" ht="152.25" customHeight="1">
      <c r="A49" s="69"/>
      <c r="B49" s="70"/>
      <c r="C49" s="71"/>
      <c r="D49" s="70"/>
      <c r="E49" s="71"/>
      <c r="F49" s="70"/>
    </row>
    <row r="50" ht="149.25" customHeight="1">
      <c r="A50" s="69"/>
      <c r="B50" s="70"/>
      <c r="C50" s="71"/>
      <c r="D50" s="70"/>
      <c r="E50" s="71"/>
      <c r="F50" s="70"/>
    </row>
    <row r="51" ht="121.5" customHeight="1">
      <c r="A51" s="69"/>
      <c r="B51" s="70"/>
      <c r="C51" s="71"/>
      <c r="D51" s="70"/>
      <c r="E51" s="71"/>
      <c r="F51" s="70"/>
    </row>
    <row r="52" ht="125.25" customHeight="1">
      <c r="A52" s="69"/>
      <c r="B52" s="70"/>
      <c r="C52" s="71"/>
      <c r="D52" s="70"/>
      <c r="E52" s="71"/>
      <c r="F52" s="70"/>
    </row>
    <row r="53" ht="126.0" customHeight="1">
      <c r="A53" s="69"/>
      <c r="B53" s="70"/>
      <c r="C53" s="71"/>
      <c r="D53" s="70"/>
      <c r="E53" s="71"/>
      <c r="F53" s="70"/>
    </row>
    <row r="54" ht="129.0" customHeight="1">
      <c r="A54" s="69"/>
      <c r="B54" s="70"/>
      <c r="C54" s="71"/>
      <c r="D54" s="70"/>
      <c r="E54" s="71"/>
      <c r="F54" s="70"/>
    </row>
    <row r="55" ht="166.5" customHeight="1">
      <c r="A55" s="69"/>
      <c r="B55" s="70"/>
      <c r="C55" s="71"/>
      <c r="D55" s="70"/>
      <c r="E55" s="71"/>
      <c r="F55" s="70"/>
    </row>
    <row r="56" ht="117.75" customHeight="1">
      <c r="A56" s="69"/>
      <c r="B56" s="70"/>
      <c r="C56" s="71"/>
      <c r="D56" s="70"/>
      <c r="E56" s="71"/>
      <c r="F56" s="70"/>
    </row>
    <row r="57" ht="123.0" customHeight="1">
      <c r="A57" s="69"/>
      <c r="B57" s="70"/>
      <c r="C57" s="71"/>
      <c r="D57" s="70"/>
      <c r="E57" s="71"/>
      <c r="F57" s="70"/>
    </row>
    <row r="58" ht="121.5" customHeight="1">
      <c r="A58" s="69"/>
      <c r="B58" s="70"/>
      <c r="C58" s="71"/>
      <c r="D58" s="70"/>
      <c r="E58" s="71"/>
      <c r="F58" s="70"/>
    </row>
    <row r="59" ht="140.25" customHeight="1">
      <c r="A59" s="69"/>
      <c r="B59" s="70"/>
      <c r="C59" s="71"/>
      <c r="D59" s="70"/>
      <c r="E59" s="71"/>
      <c r="F59" s="70"/>
    </row>
    <row r="60" ht="142.5" customHeight="1">
      <c r="A60" s="69"/>
      <c r="B60" s="70"/>
      <c r="C60" s="71"/>
      <c r="D60" s="70"/>
      <c r="E60" s="71"/>
      <c r="F60" s="70"/>
    </row>
    <row r="61" ht="139.5" customHeight="1">
      <c r="A61" s="69"/>
      <c r="B61" s="70"/>
      <c r="C61" s="71"/>
      <c r="D61" s="70"/>
      <c r="E61" s="71"/>
      <c r="F61" s="70"/>
    </row>
    <row r="62" ht="124.5" customHeight="1">
      <c r="A62" s="69"/>
      <c r="B62" s="70"/>
      <c r="C62" s="71"/>
      <c r="D62" s="70"/>
      <c r="E62" s="71"/>
      <c r="F62" s="70"/>
    </row>
    <row r="63" ht="128.25" customHeight="1">
      <c r="A63" s="69"/>
      <c r="B63" s="70"/>
      <c r="C63" s="71"/>
      <c r="D63" s="70"/>
      <c r="E63" s="71"/>
      <c r="F63" s="70"/>
    </row>
    <row r="64" ht="129.75" customHeight="1">
      <c r="A64" s="69"/>
      <c r="B64" s="70"/>
      <c r="C64" s="71"/>
      <c r="D64" s="70"/>
      <c r="E64" s="71"/>
      <c r="F64" s="70"/>
    </row>
    <row r="65" ht="144.0" customHeight="1">
      <c r="A65" s="69"/>
      <c r="B65" s="70"/>
      <c r="C65" s="71"/>
      <c r="D65" s="70"/>
      <c r="E65" s="71"/>
      <c r="F65" s="70"/>
    </row>
    <row r="66" ht="129.75" customHeight="1">
      <c r="A66" s="69"/>
      <c r="B66" s="70"/>
      <c r="C66" s="71"/>
      <c r="D66" s="70"/>
      <c r="E66" s="71"/>
      <c r="F66" s="70"/>
    </row>
    <row r="67" ht="121.5" customHeight="1">
      <c r="A67" s="69"/>
      <c r="B67" s="70"/>
      <c r="C67" s="71"/>
      <c r="D67" s="70"/>
      <c r="E67" s="71"/>
      <c r="F67" s="70"/>
    </row>
    <row r="68" ht="179.25" customHeight="1">
      <c r="A68" s="69"/>
      <c r="B68" s="70"/>
      <c r="C68" s="71"/>
      <c r="D68" s="70"/>
      <c r="E68" s="71"/>
      <c r="F68" s="70"/>
    </row>
    <row r="69" ht="57.0" customHeight="1">
      <c r="A69" s="69"/>
      <c r="B69" s="70"/>
      <c r="C69" s="71"/>
      <c r="D69" s="70"/>
      <c r="E69" s="71"/>
      <c r="F69" s="70"/>
    </row>
    <row r="70" ht="45.75" customHeight="1">
      <c r="A70" s="69"/>
      <c r="B70" s="70"/>
      <c r="C70" s="71"/>
      <c r="D70" s="70"/>
      <c r="E70" s="71"/>
      <c r="F70" s="70"/>
    </row>
    <row r="71" ht="47.25" customHeight="1">
      <c r="A71" s="69"/>
      <c r="B71" s="70"/>
      <c r="C71" s="71"/>
      <c r="D71" s="70"/>
      <c r="E71" s="71"/>
      <c r="F71" s="70"/>
    </row>
    <row r="72" ht="139.5" customHeight="1">
      <c r="A72" s="69"/>
      <c r="B72" s="70"/>
      <c r="C72" s="71"/>
      <c r="D72" s="70"/>
      <c r="E72" s="71"/>
      <c r="F72" s="70"/>
    </row>
    <row r="73" ht="138.0" customHeight="1">
      <c r="A73" s="69"/>
      <c r="B73" s="70"/>
      <c r="C73" s="71"/>
      <c r="D73" s="70"/>
      <c r="E73" s="71"/>
      <c r="F73" s="70"/>
    </row>
    <row r="74" ht="129.0" customHeight="1">
      <c r="A74" s="69"/>
      <c r="B74" s="70"/>
      <c r="C74" s="71"/>
      <c r="D74" s="70"/>
      <c r="E74" s="71"/>
      <c r="F74" s="70"/>
    </row>
    <row r="75" ht="123.75" customHeight="1">
      <c r="A75" s="69"/>
      <c r="B75" s="70"/>
      <c r="C75" s="71"/>
      <c r="D75" s="70"/>
      <c r="E75" s="71"/>
      <c r="F75" s="70"/>
    </row>
    <row r="76" ht="147.75" customHeight="1">
      <c r="A76" s="69"/>
      <c r="B76" s="70"/>
      <c r="C76" s="71"/>
      <c r="D76" s="70"/>
      <c r="E76" s="71"/>
      <c r="F76" s="70"/>
    </row>
    <row r="77" ht="90.0" customHeight="1">
      <c r="A77" s="75"/>
      <c r="B77" s="77"/>
      <c r="C77" s="79"/>
    </row>
    <row r="78" ht="90.0" customHeight="1">
      <c r="A78" s="80"/>
      <c r="B78" s="82"/>
      <c r="C78" s="84"/>
    </row>
    <row r="79" ht="127.5" customHeight="1"/>
    <row r="80" ht="138.75" customHeight="1"/>
    <row r="81" ht="132.75" customHeight="1"/>
    <row r="82" ht="116.25" customHeight="1"/>
    <row r="83" ht="140.25"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G1"/>
    <mergeCell ref="A2:G2"/>
  </mergeCells>
  <dataValidations>
    <dataValidation type="list" allowBlank="1" showErrorMessage="1" sqref="B5:E37">
      <formula1>$A$5:$A$8</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2E"/>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8.14"/>
    <col customWidth="1" min="8" max="8" width="34.57"/>
    <col customWidth="1" min="9" max="9" width="33.29"/>
    <col customWidth="1" min="10" max="10" width="28.0"/>
    <col customWidth="1" min="11" max="11" width="27.43"/>
    <col customWidth="1" min="12" max="12" width="13.0"/>
    <col customWidth="1" min="13" max="26" width="8.71"/>
  </cols>
  <sheetData>
    <row r="1" ht="30.0" customHeight="1">
      <c r="A1" s="6" t="s">
        <v>229</v>
      </c>
      <c r="B1" s="8"/>
      <c r="C1" s="8"/>
      <c r="D1" s="8"/>
      <c r="E1" s="8"/>
      <c r="F1" s="8"/>
      <c r="G1" s="8"/>
      <c r="H1" s="8"/>
      <c r="I1" s="8"/>
      <c r="J1" s="8"/>
      <c r="K1" s="8"/>
      <c r="L1" s="10"/>
    </row>
    <row r="2" ht="24.75" customHeight="1">
      <c r="A2" s="11" t="s">
        <v>230</v>
      </c>
      <c r="B2" s="8"/>
      <c r="C2" s="8"/>
      <c r="D2" s="8"/>
      <c r="E2" s="8"/>
      <c r="F2" s="8"/>
      <c r="G2" s="8"/>
      <c r="H2" s="8"/>
      <c r="I2" s="8"/>
      <c r="J2" s="8"/>
      <c r="K2" s="8"/>
      <c r="L2" s="10"/>
    </row>
    <row r="3" ht="7.5" customHeight="1"/>
    <row r="4" ht="34.5" customHeight="1">
      <c r="A4" s="12" t="s">
        <v>11</v>
      </c>
      <c r="B4" s="12" t="s">
        <v>12</v>
      </c>
      <c r="C4" s="12" t="s">
        <v>13</v>
      </c>
      <c r="D4" s="12" t="s">
        <v>14</v>
      </c>
      <c r="E4" s="12" t="s">
        <v>15</v>
      </c>
      <c r="F4" s="12" t="s">
        <v>16</v>
      </c>
      <c r="G4" s="12" t="s">
        <v>17</v>
      </c>
      <c r="H4" s="12" t="s">
        <v>18</v>
      </c>
      <c r="I4" s="12" t="s">
        <v>19</v>
      </c>
      <c r="J4" s="12" t="s">
        <v>20</v>
      </c>
      <c r="K4" s="12" t="s">
        <v>21</v>
      </c>
    </row>
    <row r="5" ht="90.0" customHeight="1">
      <c r="A5" s="14">
        <v>1.0</v>
      </c>
      <c r="B5" s="14" t="s">
        <v>24</v>
      </c>
      <c r="C5" s="14" t="s">
        <v>25</v>
      </c>
      <c r="D5" s="17" t="s">
        <v>26</v>
      </c>
      <c r="E5" s="17" t="s">
        <v>28</v>
      </c>
      <c r="F5" s="17" t="s">
        <v>28</v>
      </c>
      <c r="G5" s="30"/>
      <c r="H5" s="93"/>
      <c r="I5" s="30"/>
      <c r="J5" s="93"/>
      <c r="K5" s="30"/>
      <c r="M5" s="94">
        <v>1.0</v>
      </c>
      <c r="N5" s="94">
        <v>2.0</v>
      </c>
      <c r="O5" s="94">
        <v>3.0</v>
      </c>
      <c r="P5" s="94">
        <v>4.0</v>
      </c>
      <c r="Q5" s="94">
        <v>5.0</v>
      </c>
    </row>
    <row r="6" ht="345.0" customHeight="1">
      <c r="A6" s="72">
        <v>2.0</v>
      </c>
      <c r="B6" s="72" t="s">
        <v>24</v>
      </c>
      <c r="C6" s="72" t="s">
        <v>34</v>
      </c>
      <c r="D6" s="73" t="s">
        <v>35</v>
      </c>
      <c r="E6" s="73" t="s">
        <v>231</v>
      </c>
      <c r="F6" s="73" t="s">
        <v>232</v>
      </c>
      <c r="G6" s="30">
        <v>4.0</v>
      </c>
      <c r="H6" s="98">
        <v>4.0</v>
      </c>
      <c r="I6" s="30">
        <v>3.0</v>
      </c>
      <c r="J6" s="93">
        <v>3.0</v>
      </c>
      <c r="K6" s="30">
        <f t="shared" ref="K6:K38" si="1">AVERAGE(G6:J6)</f>
        <v>3.5</v>
      </c>
    </row>
    <row r="7" ht="281.25" customHeight="1">
      <c r="A7" s="41">
        <v>3.0</v>
      </c>
      <c r="B7" s="41" t="s">
        <v>24</v>
      </c>
      <c r="C7" s="41" t="s">
        <v>70</v>
      </c>
      <c r="D7" s="44" t="s">
        <v>72</v>
      </c>
      <c r="E7" s="44" t="s">
        <v>233</v>
      </c>
      <c r="F7" s="44" t="s">
        <v>234</v>
      </c>
      <c r="G7" s="30">
        <v>4.0</v>
      </c>
      <c r="H7" s="98">
        <v>4.0</v>
      </c>
      <c r="I7" s="99">
        <v>4.0</v>
      </c>
      <c r="J7" s="93">
        <v>3.0</v>
      </c>
      <c r="K7" s="30">
        <f t="shared" si="1"/>
        <v>3.75</v>
      </c>
    </row>
    <row r="8" ht="244.5" customHeight="1">
      <c r="A8" s="72">
        <v>4.0</v>
      </c>
      <c r="B8" s="72" t="s">
        <v>97</v>
      </c>
      <c r="C8" s="72" t="s">
        <v>25</v>
      </c>
      <c r="D8" s="73" t="s">
        <v>98</v>
      </c>
      <c r="E8" s="73" t="s">
        <v>235</v>
      </c>
      <c r="F8" s="73" t="s">
        <v>236</v>
      </c>
      <c r="G8" s="30">
        <v>4.0</v>
      </c>
      <c r="H8" s="98">
        <v>4.0</v>
      </c>
      <c r="I8" s="99">
        <v>4.0</v>
      </c>
      <c r="J8" s="93">
        <v>3.0</v>
      </c>
      <c r="K8" s="30">
        <f t="shared" si="1"/>
        <v>3.75</v>
      </c>
    </row>
    <row r="9" ht="283.5" customHeight="1">
      <c r="A9" s="41">
        <v>5.0</v>
      </c>
      <c r="B9" s="41" t="s">
        <v>97</v>
      </c>
      <c r="C9" s="41" t="s">
        <v>70</v>
      </c>
      <c r="D9" s="44" t="s">
        <v>104</v>
      </c>
      <c r="E9" s="44" t="s">
        <v>238</v>
      </c>
      <c r="F9" s="44" t="s">
        <v>239</v>
      </c>
      <c r="G9" s="30">
        <v>4.0</v>
      </c>
      <c r="H9" s="98">
        <v>4.0</v>
      </c>
      <c r="I9" s="99">
        <v>4.0</v>
      </c>
      <c r="J9" s="93">
        <v>3.0</v>
      </c>
      <c r="K9" s="30">
        <f t="shared" si="1"/>
        <v>3.75</v>
      </c>
    </row>
    <row r="10" ht="276.0" customHeight="1">
      <c r="A10" s="72">
        <v>6.0</v>
      </c>
      <c r="B10" s="72" t="s">
        <v>97</v>
      </c>
      <c r="C10" s="72" t="s">
        <v>112</v>
      </c>
      <c r="D10" s="73" t="s">
        <v>114</v>
      </c>
      <c r="E10" s="73" t="s">
        <v>240</v>
      </c>
      <c r="F10" s="73" t="s">
        <v>241</v>
      </c>
      <c r="G10" s="30">
        <v>4.0</v>
      </c>
      <c r="H10" s="98">
        <v>4.0</v>
      </c>
      <c r="I10" s="30">
        <v>3.0</v>
      </c>
      <c r="J10" s="93">
        <v>3.0</v>
      </c>
      <c r="K10" s="30">
        <f t="shared" si="1"/>
        <v>3.5</v>
      </c>
    </row>
    <row r="11" ht="293.25" customHeight="1">
      <c r="A11" s="41">
        <v>7.0</v>
      </c>
      <c r="B11" s="41" t="s">
        <v>123</v>
      </c>
      <c r="C11" s="41" t="s">
        <v>25</v>
      </c>
      <c r="D11" s="44" t="s">
        <v>125</v>
      </c>
      <c r="E11" s="44" t="s">
        <v>243</v>
      </c>
      <c r="F11" s="44" t="s">
        <v>244</v>
      </c>
      <c r="G11" s="30">
        <v>4.0</v>
      </c>
      <c r="H11" s="98">
        <v>4.0</v>
      </c>
      <c r="I11" s="99">
        <v>4.0</v>
      </c>
      <c r="J11" s="93">
        <v>3.0</v>
      </c>
      <c r="K11" s="30">
        <f t="shared" si="1"/>
        <v>3.75</v>
      </c>
    </row>
    <row r="12" ht="288.75" customHeight="1">
      <c r="A12" s="72">
        <v>8.0</v>
      </c>
      <c r="B12" s="72" t="s">
        <v>123</v>
      </c>
      <c r="C12" s="72" t="s">
        <v>70</v>
      </c>
      <c r="D12" s="73" t="s">
        <v>128</v>
      </c>
      <c r="E12" s="73" t="s">
        <v>245</v>
      </c>
      <c r="F12" s="73" t="s">
        <v>246</v>
      </c>
      <c r="G12" s="30">
        <v>4.0</v>
      </c>
      <c r="H12" s="98">
        <v>4.0</v>
      </c>
      <c r="I12" s="30">
        <v>3.0</v>
      </c>
      <c r="J12" s="93">
        <v>3.0</v>
      </c>
      <c r="K12" s="30">
        <f t="shared" si="1"/>
        <v>3.5</v>
      </c>
    </row>
    <row r="13" ht="304.5" customHeight="1">
      <c r="A13" s="14">
        <v>9.0</v>
      </c>
      <c r="B13" s="41" t="s">
        <v>131</v>
      </c>
      <c r="C13" s="41" t="s">
        <v>132</v>
      </c>
      <c r="D13" s="44" t="s">
        <v>133</v>
      </c>
      <c r="E13" s="44" t="s">
        <v>247</v>
      </c>
      <c r="F13" s="44" t="s">
        <v>248</v>
      </c>
      <c r="G13" s="30">
        <v>4.0</v>
      </c>
      <c r="H13" s="98">
        <v>4.0</v>
      </c>
      <c r="I13" s="30">
        <v>3.0</v>
      </c>
      <c r="J13" s="93">
        <v>3.0</v>
      </c>
      <c r="K13" s="30">
        <f t="shared" si="1"/>
        <v>3.5</v>
      </c>
    </row>
    <row r="14" ht="231.75" customHeight="1">
      <c r="A14" s="72">
        <v>10.0</v>
      </c>
      <c r="B14" s="72" t="s">
        <v>136</v>
      </c>
      <c r="C14" s="72" t="s">
        <v>25</v>
      </c>
      <c r="D14" s="73" t="s">
        <v>137</v>
      </c>
      <c r="E14" s="73" t="s">
        <v>249</v>
      </c>
      <c r="F14" s="73" t="s">
        <v>250</v>
      </c>
      <c r="G14" s="30">
        <v>4.0</v>
      </c>
      <c r="H14" s="98">
        <v>4.0</v>
      </c>
      <c r="I14" s="99">
        <v>4.0</v>
      </c>
      <c r="J14" s="93">
        <v>3.0</v>
      </c>
      <c r="K14" s="30">
        <f t="shared" si="1"/>
        <v>3.75</v>
      </c>
    </row>
    <row r="15" ht="215.25" customHeight="1">
      <c r="A15" s="41">
        <v>11.0</v>
      </c>
      <c r="B15" s="41" t="s">
        <v>140</v>
      </c>
      <c r="C15" s="41" t="s">
        <v>25</v>
      </c>
      <c r="D15" s="44" t="s">
        <v>141</v>
      </c>
      <c r="E15" s="44" t="s">
        <v>251</v>
      </c>
      <c r="F15" s="44" t="s">
        <v>252</v>
      </c>
      <c r="G15" s="30">
        <v>4.0</v>
      </c>
      <c r="H15" s="98">
        <v>4.0</v>
      </c>
      <c r="I15" s="30">
        <v>3.0</v>
      </c>
      <c r="J15" s="93">
        <v>3.0</v>
      </c>
      <c r="K15" s="30">
        <f t="shared" si="1"/>
        <v>3.5</v>
      </c>
    </row>
    <row r="16" ht="279.0" customHeight="1">
      <c r="A16" s="19">
        <v>12.0</v>
      </c>
      <c r="B16" s="19" t="s">
        <v>140</v>
      </c>
      <c r="C16" s="19" t="s">
        <v>144</v>
      </c>
      <c r="D16" s="21" t="s">
        <v>145</v>
      </c>
      <c r="E16" s="21" t="s">
        <v>253</v>
      </c>
      <c r="F16" s="21" t="s">
        <v>254</v>
      </c>
      <c r="G16" s="30">
        <v>4.0</v>
      </c>
      <c r="H16" s="98">
        <v>4.0</v>
      </c>
      <c r="I16" s="99">
        <v>4.0</v>
      </c>
      <c r="J16" s="93">
        <v>3.0</v>
      </c>
      <c r="K16" s="30">
        <f t="shared" si="1"/>
        <v>3.75</v>
      </c>
    </row>
    <row r="17" ht="279.0" customHeight="1">
      <c r="A17" s="14">
        <v>13.0</v>
      </c>
      <c r="B17" s="41" t="s">
        <v>140</v>
      </c>
      <c r="C17" s="41" t="s">
        <v>148</v>
      </c>
      <c r="D17" s="44" t="s">
        <v>149</v>
      </c>
      <c r="E17" s="44" t="s">
        <v>255</v>
      </c>
      <c r="F17" s="44" t="s">
        <v>256</v>
      </c>
      <c r="G17" s="30">
        <v>4.0</v>
      </c>
      <c r="H17" s="98">
        <v>4.0</v>
      </c>
      <c r="I17" s="30">
        <v>3.0</v>
      </c>
      <c r="J17" s="93">
        <v>3.0</v>
      </c>
      <c r="K17" s="30">
        <f t="shared" si="1"/>
        <v>3.5</v>
      </c>
    </row>
    <row r="18" ht="223.5" customHeight="1">
      <c r="A18" s="19">
        <v>14.0</v>
      </c>
      <c r="B18" s="72" t="s">
        <v>152</v>
      </c>
      <c r="C18" s="72" t="s">
        <v>25</v>
      </c>
      <c r="D18" s="73" t="s">
        <v>153</v>
      </c>
      <c r="E18" s="73" t="s">
        <v>259</v>
      </c>
      <c r="F18" s="73" t="s">
        <v>260</v>
      </c>
      <c r="G18" s="30">
        <v>4.0</v>
      </c>
      <c r="H18" s="98">
        <v>4.0</v>
      </c>
      <c r="I18" s="30">
        <v>3.0</v>
      </c>
      <c r="J18" s="93">
        <v>3.0</v>
      </c>
      <c r="K18" s="30">
        <f t="shared" si="1"/>
        <v>3.5</v>
      </c>
    </row>
    <row r="19" ht="268.5" customHeight="1">
      <c r="A19" s="14">
        <v>15.0</v>
      </c>
      <c r="B19" s="41" t="s">
        <v>152</v>
      </c>
      <c r="C19" s="41" t="s">
        <v>70</v>
      </c>
      <c r="D19" s="44" t="s">
        <v>156</v>
      </c>
      <c r="E19" s="44" t="s">
        <v>261</v>
      </c>
      <c r="F19" s="44" t="s">
        <v>262</v>
      </c>
      <c r="G19" s="30">
        <v>4.0</v>
      </c>
      <c r="H19" s="98">
        <v>4.0</v>
      </c>
      <c r="I19" s="99">
        <v>4.0</v>
      </c>
      <c r="J19" s="93">
        <v>3.0</v>
      </c>
      <c r="K19" s="30">
        <f t="shared" si="1"/>
        <v>3.75</v>
      </c>
    </row>
    <row r="20" ht="244.5" customHeight="1">
      <c r="A20" s="19">
        <v>16.0</v>
      </c>
      <c r="B20" s="72" t="s">
        <v>152</v>
      </c>
      <c r="C20" s="72" t="s">
        <v>112</v>
      </c>
      <c r="D20" s="73" t="s">
        <v>159</v>
      </c>
      <c r="E20" s="73" t="s">
        <v>263</v>
      </c>
      <c r="F20" s="73" t="s">
        <v>264</v>
      </c>
      <c r="G20" s="30">
        <v>4.0</v>
      </c>
      <c r="H20" s="98">
        <v>4.0</v>
      </c>
      <c r="I20" s="30">
        <v>3.0</v>
      </c>
      <c r="J20" s="93">
        <v>3.0</v>
      </c>
      <c r="K20" s="30">
        <f t="shared" si="1"/>
        <v>3.5</v>
      </c>
    </row>
    <row r="21" ht="291.75" customHeight="1">
      <c r="A21" s="14">
        <v>17.0</v>
      </c>
      <c r="B21" s="14" t="s">
        <v>162</v>
      </c>
      <c r="C21" s="14" t="s">
        <v>70</v>
      </c>
      <c r="D21" s="17" t="s">
        <v>163</v>
      </c>
      <c r="E21" s="17" t="s">
        <v>267</v>
      </c>
      <c r="F21" s="17" t="s">
        <v>268</v>
      </c>
      <c r="G21" s="30">
        <v>4.0</v>
      </c>
      <c r="H21" s="98">
        <v>4.0</v>
      </c>
      <c r="I21" s="99">
        <v>4.0</v>
      </c>
      <c r="J21" s="93">
        <v>3.0</v>
      </c>
      <c r="K21" s="30">
        <f t="shared" si="1"/>
        <v>3.75</v>
      </c>
    </row>
    <row r="22" ht="210.0" customHeight="1">
      <c r="A22" s="72">
        <v>18.0</v>
      </c>
      <c r="B22" s="72" t="s">
        <v>162</v>
      </c>
      <c r="C22" s="72" t="s">
        <v>112</v>
      </c>
      <c r="D22" s="73" t="s">
        <v>166</v>
      </c>
      <c r="E22" s="73" t="s">
        <v>271</v>
      </c>
      <c r="F22" s="73" t="s">
        <v>272</v>
      </c>
      <c r="G22" s="30">
        <v>4.0</v>
      </c>
      <c r="H22" s="98">
        <v>4.0</v>
      </c>
      <c r="I22" s="30">
        <v>3.0</v>
      </c>
      <c r="J22" s="93">
        <v>3.0</v>
      </c>
      <c r="K22" s="30">
        <f t="shared" si="1"/>
        <v>3.5</v>
      </c>
    </row>
    <row r="23" ht="215.25" customHeight="1">
      <c r="A23" s="14">
        <v>19.0</v>
      </c>
      <c r="B23" s="14" t="s">
        <v>169</v>
      </c>
      <c r="C23" s="14" t="s">
        <v>25</v>
      </c>
      <c r="D23" s="17" t="s">
        <v>170</v>
      </c>
      <c r="E23" s="17" t="s">
        <v>275</v>
      </c>
      <c r="F23" s="17" t="s">
        <v>276</v>
      </c>
      <c r="G23" s="30">
        <v>4.0</v>
      </c>
      <c r="H23" s="98">
        <v>4.0</v>
      </c>
      <c r="I23" s="30">
        <v>3.0</v>
      </c>
      <c r="J23" s="93">
        <v>3.0</v>
      </c>
      <c r="K23" s="30">
        <f t="shared" si="1"/>
        <v>3.5</v>
      </c>
    </row>
    <row r="24" ht="229.5" customHeight="1">
      <c r="A24" s="19">
        <v>20.0</v>
      </c>
      <c r="B24" s="72" t="s">
        <v>169</v>
      </c>
      <c r="C24" s="72" t="s">
        <v>112</v>
      </c>
      <c r="D24" s="73" t="s">
        <v>173</v>
      </c>
      <c r="E24" s="73" t="s">
        <v>278</v>
      </c>
      <c r="F24" s="73" t="s">
        <v>279</v>
      </c>
      <c r="G24" s="30">
        <v>4.0</v>
      </c>
      <c r="H24" s="98">
        <v>4.0</v>
      </c>
      <c r="I24" s="30">
        <v>3.0</v>
      </c>
      <c r="J24" s="93">
        <v>3.0</v>
      </c>
      <c r="K24" s="30">
        <f t="shared" si="1"/>
        <v>3.5</v>
      </c>
    </row>
    <row r="25" ht="246.0" customHeight="1">
      <c r="A25" s="14">
        <v>21.0</v>
      </c>
      <c r="B25" s="41" t="s">
        <v>176</v>
      </c>
      <c r="C25" s="41" t="s">
        <v>25</v>
      </c>
      <c r="D25" s="44" t="s">
        <v>177</v>
      </c>
      <c r="E25" s="44" t="s">
        <v>281</v>
      </c>
      <c r="F25" s="44" t="s">
        <v>282</v>
      </c>
      <c r="G25" s="30">
        <v>4.0</v>
      </c>
      <c r="H25" s="98">
        <v>4.0</v>
      </c>
      <c r="I25" s="30">
        <v>3.0</v>
      </c>
      <c r="J25" s="93">
        <v>3.0</v>
      </c>
      <c r="K25" s="30">
        <f t="shared" si="1"/>
        <v>3.5</v>
      </c>
    </row>
    <row r="26" ht="194.25" customHeight="1">
      <c r="A26" s="19">
        <v>22.0</v>
      </c>
      <c r="B26" s="72" t="s">
        <v>180</v>
      </c>
      <c r="C26" s="72" t="s">
        <v>25</v>
      </c>
      <c r="D26" s="73" t="s">
        <v>181</v>
      </c>
      <c r="E26" s="73" t="s">
        <v>285</v>
      </c>
      <c r="F26" s="73" t="s">
        <v>286</v>
      </c>
      <c r="G26" s="30">
        <v>4.0</v>
      </c>
      <c r="H26" s="98">
        <v>4.0</v>
      </c>
      <c r="I26" s="30">
        <v>3.0</v>
      </c>
      <c r="J26" s="93">
        <v>3.0</v>
      </c>
      <c r="K26" s="30">
        <f t="shared" si="1"/>
        <v>3.5</v>
      </c>
    </row>
    <row r="27" ht="258.0" customHeight="1">
      <c r="A27" s="14">
        <v>23.0</v>
      </c>
      <c r="B27" s="14" t="s">
        <v>184</v>
      </c>
      <c r="C27" s="14" t="s">
        <v>70</v>
      </c>
      <c r="D27" s="17" t="s">
        <v>185</v>
      </c>
      <c r="E27" s="17" t="s">
        <v>289</v>
      </c>
      <c r="F27" s="17" t="s">
        <v>290</v>
      </c>
      <c r="G27" s="30">
        <v>4.0</v>
      </c>
      <c r="H27" s="98">
        <v>4.0</v>
      </c>
      <c r="I27" s="30">
        <v>3.0</v>
      </c>
      <c r="J27" s="93">
        <v>3.0</v>
      </c>
      <c r="K27" s="30">
        <f t="shared" si="1"/>
        <v>3.5</v>
      </c>
    </row>
    <row r="28" ht="227.25" customHeight="1">
      <c r="A28" s="19">
        <v>24.0</v>
      </c>
      <c r="B28" s="72" t="s">
        <v>188</v>
      </c>
      <c r="C28" s="72" t="s">
        <v>25</v>
      </c>
      <c r="D28" s="73" t="s">
        <v>189</v>
      </c>
      <c r="E28" s="73" t="s">
        <v>291</v>
      </c>
      <c r="F28" s="73" t="s">
        <v>292</v>
      </c>
      <c r="G28" s="30">
        <v>4.0</v>
      </c>
      <c r="H28" s="98">
        <v>4.0</v>
      </c>
      <c r="I28" s="99">
        <v>4.0</v>
      </c>
      <c r="J28" s="98">
        <v>4.0</v>
      </c>
      <c r="K28" s="30">
        <f t="shared" si="1"/>
        <v>4</v>
      </c>
    </row>
    <row r="29" ht="299.25" customHeight="1">
      <c r="A29" s="14">
        <v>25.0</v>
      </c>
      <c r="B29" s="14" t="s">
        <v>192</v>
      </c>
      <c r="C29" s="14" t="s">
        <v>25</v>
      </c>
      <c r="D29" s="17" t="s">
        <v>193</v>
      </c>
      <c r="E29" s="17" t="s">
        <v>295</v>
      </c>
      <c r="F29" s="17" t="s">
        <v>296</v>
      </c>
      <c r="G29" s="30">
        <v>4.0</v>
      </c>
      <c r="H29" s="98">
        <v>4.0</v>
      </c>
      <c r="I29" s="30">
        <v>3.0</v>
      </c>
      <c r="J29" s="93">
        <v>3.0</v>
      </c>
      <c r="K29" s="30">
        <f t="shared" si="1"/>
        <v>3.5</v>
      </c>
    </row>
    <row r="30" ht="256.5" customHeight="1">
      <c r="A30" s="19">
        <v>26.0</v>
      </c>
      <c r="B30" s="19" t="s">
        <v>192</v>
      </c>
      <c r="C30" s="19" t="s">
        <v>70</v>
      </c>
      <c r="D30" s="21" t="s">
        <v>196</v>
      </c>
      <c r="E30" s="21" t="s">
        <v>299</v>
      </c>
      <c r="F30" s="21" t="s">
        <v>300</v>
      </c>
      <c r="G30" s="30">
        <v>4.0</v>
      </c>
      <c r="H30" s="98">
        <v>4.0</v>
      </c>
      <c r="I30" s="99">
        <v>4.0</v>
      </c>
      <c r="J30" s="93">
        <v>3.0</v>
      </c>
      <c r="K30" s="30">
        <f t="shared" si="1"/>
        <v>3.75</v>
      </c>
    </row>
    <row r="31" ht="183.75" customHeight="1">
      <c r="A31" s="14">
        <v>27.0</v>
      </c>
      <c r="B31" s="14" t="s">
        <v>192</v>
      </c>
      <c r="C31" s="14" t="s">
        <v>112</v>
      </c>
      <c r="D31" s="17" t="s">
        <v>199</v>
      </c>
      <c r="E31" s="17" t="s">
        <v>303</v>
      </c>
      <c r="F31" s="17" t="s">
        <v>304</v>
      </c>
      <c r="G31" s="30">
        <v>4.0</v>
      </c>
      <c r="H31" s="98">
        <v>4.0</v>
      </c>
      <c r="I31" s="30">
        <v>3.0</v>
      </c>
      <c r="J31" s="93">
        <v>3.0</v>
      </c>
      <c r="K31" s="30">
        <f t="shared" si="1"/>
        <v>3.5</v>
      </c>
    </row>
    <row r="32" ht="228.75" customHeight="1">
      <c r="A32" s="19">
        <v>28.0</v>
      </c>
      <c r="B32" s="19" t="s">
        <v>202</v>
      </c>
      <c r="C32" s="19" t="s">
        <v>25</v>
      </c>
      <c r="D32" s="21" t="s">
        <v>203</v>
      </c>
      <c r="E32" s="21" t="s">
        <v>307</v>
      </c>
      <c r="F32" s="21" t="s">
        <v>308</v>
      </c>
      <c r="G32" s="30">
        <v>4.0</v>
      </c>
      <c r="H32" s="98">
        <v>4.0</v>
      </c>
      <c r="I32" s="30">
        <v>3.0</v>
      </c>
      <c r="J32" s="93">
        <v>3.0</v>
      </c>
      <c r="K32" s="30">
        <f t="shared" si="1"/>
        <v>3.5</v>
      </c>
    </row>
    <row r="33" ht="282.0" customHeight="1">
      <c r="A33" s="14">
        <v>29.0</v>
      </c>
      <c r="B33" s="14" t="s">
        <v>202</v>
      </c>
      <c r="C33" s="14" t="s">
        <v>70</v>
      </c>
      <c r="D33" s="17" t="s">
        <v>206</v>
      </c>
      <c r="E33" s="17" t="s">
        <v>311</v>
      </c>
      <c r="F33" s="17" t="s">
        <v>312</v>
      </c>
      <c r="G33" s="30">
        <v>4.0</v>
      </c>
      <c r="H33" s="98">
        <v>4.0</v>
      </c>
      <c r="I33" s="30">
        <v>3.0</v>
      </c>
      <c r="J33" s="93">
        <v>3.0</v>
      </c>
      <c r="K33" s="30">
        <f t="shared" si="1"/>
        <v>3.5</v>
      </c>
    </row>
    <row r="34" ht="270.75" customHeight="1">
      <c r="A34" s="19">
        <v>30.0</v>
      </c>
      <c r="B34" s="72" t="s">
        <v>202</v>
      </c>
      <c r="C34" s="72" t="s">
        <v>112</v>
      </c>
      <c r="D34" s="73" t="s">
        <v>209</v>
      </c>
      <c r="E34" s="73" t="s">
        <v>314</v>
      </c>
      <c r="F34" s="73" t="s">
        <v>316</v>
      </c>
      <c r="G34" s="30">
        <v>4.0</v>
      </c>
      <c r="H34" s="98">
        <v>4.0</v>
      </c>
      <c r="I34" s="30">
        <v>3.0</v>
      </c>
      <c r="J34" s="93">
        <v>3.0</v>
      </c>
      <c r="K34" s="30">
        <f t="shared" si="1"/>
        <v>3.5</v>
      </c>
    </row>
    <row r="35" ht="238.5" customHeight="1">
      <c r="A35" s="14">
        <v>31.0</v>
      </c>
      <c r="B35" s="14" t="s">
        <v>212</v>
      </c>
      <c r="C35" s="14" t="s">
        <v>25</v>
      </c>
      <c r="D35" s="17" t="s">
        <v>213</v>
      </c>
      <c r="E35" s="17" t="s">
        <v>317</v>
      </c>
      <c r="F35" s="17" t="s">
        <v>318</v>
      </c>
      <c r="G35" s="30">
        <v>4.0</v>
      </c>
      <c r="H35" s="98">
        <v>4.0</v>
      </c>
      <c r="I35" s="30">
        <v>3.0</v>
      </c>
      <c r="J35" s="93">
        <v>3.0</v>
      </c>
      <c r="K35" s="30">
        <f t="shared" si="1"/>
        <v>3.5</v>
      </c>
    </row>
    <row r="36" ht="242.25" customHeight="1">
      <c r="A36" s="19">
        <v>32.0</v>
      </c>
      <c r="B36" s="74">
        <v>46197.0</v>
      </c>
      <c r="C36" s="103">
        <v>0.5</v>
      </c>
      <c r="D36" s="73" t="s">
        <v>216</v>
      </c>
      <c r="E36" s="73" t="s">
        <v>323</v>
      </c>
      <c r="F36" s="73" t="s">
        <v>324</v>
      </c>
      <c r="G36" s="30">
        <v>4.0</v>
      </c>
      <c r="H36" s="98">
        <v>4.0</v>
      </c>
      <c r="I36" s="30">
        <v>3.0</v>
      </c>
      <c r="J36" s="93">
        <v>3.0</v>
      </c>
      <c r="K36" s="30">
        <f t="shared" si="1"/>
        <v>3.5</v>
      </c>
    </row>
    <row r="37" ht="295.5" customHeight="1">
      <c r="A37" s="81">
        <v>33.0</v>
      </c>
      <c r="B37" s="83">
        <v>46197.0</v>
      </c>
      <c r="C37" s="104">
        <v>0.666666666666667</v>
      </c>
      <c r="D37" s="86" t="s">
        <v>219</v>
      </c>
      <c r="E37" s="86" t="s">
        <v>328</v>
      </c>
      <c r="F37" s="86" t="s">
        <v>330</v>
      </c>
      <c r="G37" s="30">
        <v>4.0</v>
      </c>
      <c r="H37" s="98">
        <v>4.0</v>
      </c>
      <c r="I37" s="30">
        <v>3.0</v>
      </c>
      <c r="J37" s="93">
        <v>3.0</v>
      </c>
      <c r="K37" s="67">
        <f t="shared" si="1"/>
        <v>3.5</v>
      </c>
    </row>
    <row r="38" ht="225.0" customHeight="1">
      <c r="A38" s="88">
        <v>34.0</v>
      </c>
      <c r="B38" s="89">
        <v>46198.0</v>
      </c>
      <c r="C38" s="105" t="s">
        <v>70</v>
      </c>
      <c r="D38" s="78" t="s">
        <v>222</v>
      </c>
      <c r="E38" s="78" t="s">
        <v>335</v>
      </c>
      <c r="F38" s="78" t="s">
        <v>336</v>
      </c>
      <c r="G38" s="30">
        <v>4.0</v>
      </c>
      <c r="H38" s="98">
        <v>4.0</v>
      </c>
      <c r="I38" s="99">
        <v>4.0</v>
      </c>
      <c r="J38" s="93">
        <v>3.0</v>
      </c>
      <c r="K38" s="68">
        <f t="shared" si="1"/>
        <v>3.75</v>
      </c>
    </row>
    <row r="39" ht="193.5" customHeight="1">
      <c r="A39" s="69"/>
      <c r="B39" s="69"/>
      <c r="C39" s="69"/>
      <c r="D39" s="90"/>
      <c r="E39" s="90"/>
      <c r="F39" s="91" t="s">
        <v>225</v>
      </c>
      <c r="G39" s="70">
        <f t="shared" ref="G39:K39" si="2">SUM(G5:G38)</f>
        <v>132</v>
      </c>
      <c r="H39" s="70">
        <f t="shared" si="2"/>
        <v>132</v>
      </c>
      <c r="I39" s="70">
        <f t="shared" si="2"/>
        <v>110</v>
      </c>
      <c r="J39" s="70">
        <f t="shared" si="2"/>
        <v>100</v>
      </c>
      <c r="K39" s="70">
        <f t="shared" si="2"/>
        <v>118.5</v>
      </c>
    </row>
    <row r="40" ht="167.25" customHeight="1">
      <c r="A40" s="69"/>
      <c r="B40" s="69"/>
      <c r="C40" s="69"/>
      <c r="D40" s="90"/>
      <c r="E40" s="90"/>
      <c r="F40" s="91" t="s">
        <v>226</v>
      </c>
      <c r="G40" s="70">
        <f t="shared" ref="G40:K40" si="3">ROUND(AVERAGE(G5:G38), 2)</f>
        <v>4</v>
      </c>
      <c r="H40" s="70">
        <f t="shared" si="3"/>
        <v>4</v>
      </c>
      <c r="I40" s="70">
        <f t="shared" si="3"/>
        <v>3.33</v>
      </c>
      <c r="J40" s="70">
        <f t="shared" si="3"/>
        <v>3.03</v>
      </c>
      <c r="K40" s="70">
        <f t="shared" si="3"/>
        <v>3.59</v>
      </c>
    </row>
    <row r="41" ht="31.5" customHeight="1">
      <c r="A41" s="69"/>
      <c r="B41" s="69"/>
      <c r="C41" s="69"/>
      <c r="D41" s="90"/>
      <c r="E41" s="90"/>
      <c r="F41" s="91" t="s">
        <v>227</v>
      </c>
      <c r="G41" s="70">
        <f t="shared" ref="G41:K41" si="4">ROUND(_xlfn.STDEV.S(G6:G38),2)</f>
        <v>0</v>
      </c>
      <c r="H41" s="70">
        <f t="shared" si="4"/>
        <v>0</v>
      </c>
      <c r="I41" s="70">
        <f t="shared" si="4"/>
        <v>0.48</v>
      </c>
      <c r="J41" s="70">
        <f t="shared" si="4"/>
        <v>0.17</v>
      </c>
      <c r="K41" s="70">
        <f t="shared" si="4"/>
        <v>0.14</v>
      </c>
    </row>
    <row r="42" ht="28.5" customHeight="1">
      <c r="A42" s="69"/>
      <c r="B42" s="69"/>
      <c r="C42" s="69"/>
      <c r="D42" s="90"/>
      <c r="E42" s="90"/>
      <c r="F42" s="92" t="s">
        <v>228</v>
      </c>
      <c r="G42" s="70" t="str">
        <f t="shared" ref="G42:K42" si="5">TEXT(AVERAGE(G6:G38),"0.00")&amp;" ± "&amp;TEXT(_xlfn.STDEV.S(G6:G38),"0.00")</f>
        <v>4,00 ± 0,00</v>
      </c>
      <c r="H42" s="70" t="str">
        <f t="shared" si="5"/>
        <v>4,00 ± 0,00</v>
      </c>
      <c r="I42" s="70" t="str">
        <f t="shared" si="5"/>
        <v>3,33 ± 0,48</v>
      </c>
      <c r="J42" s="70" t="str">
        <f t="shared" si="5"/>
        <v>3,03 ± 0,17</v>
      </c>
      <c r="K42" s="70" t="str">
        <f t="shared" si="5"/>
        <v>3,59 ± 0,14</v>
      </c>
    </row>
    <row r="43" ht="31.5" customHeight="1">
      <c r="A43" s="69"/>
      <c r="B43" s="69"/>
      <c r="C43" s="69"/>
      <c r="D43" s="90"/>
      <c r="E43" s="90"/>
      <c r="F43" s="90"/>
      <c r="G43" s="70"/>
      <c r="H43" s="71"/>
      <c r="I43" s="70"/>
      <c r="J43" s="71"/>
      <c r="K43" s="70"/>
    </row>
    <row r="44" ht="32.25" customHeight="1">
      <c r="A44" s="69"/>
      <c r="B44" s="69"/>
      <c r="C44" s="69"/>
      <c r="D44" s="90"/>
      <c r="E44" s="90"/>
      <c r="F44" s="90"/>
      <c r="G44" s="70"/>
      <c r="H44" s="71"/>
      <c r="I44" s="70"/>
      <c r="J44" s="71"/>
      <c r="K44" s="70"/>
    </row>
    <row r="45" ht="29.25" customHeight="1">
      <c r="A45" s="69"/>
      <c r="B45" s="69"/>
      <c r="C45" s="69"/>
      <c r="D45" s="90"/>
      <c r="E45" s="90"/>
      <c r="F45" s="90"/>
      <c r="G45" s="70"/>
      <c r="H45" s="71"/>
      <c r="I45" s="70"/>
      <c r="J45" s="71"/>
      <c r="K45" s="70"/>
    </row>
    <row r="46" ht="33.0" customHeight="1">
      <c r="A46" s="69"/>
      <c r="B46" s="69"/>
      <c r="C46" s="69"/>
      <c r="D46" s="90"/>
      <c r="E46" s="90"/>
      <c r="F46" s="90"/>
      <c r="G46" s="70"/>
      <c r="H46" s="71"/>
      <c r="I46" s="70"/>
      <c r="J46" s="71"/>
      <c r="K46" s="70"/>
    </row>
    <row r="47" ht="27.75" customHeight="1">
      <c r="A47" s="69"/>
      <c r="B47" s="69"/>
      <c r="C47" s="69"/>
      <c r="D47" s="90"/>
      <c r="E47" s="90"/>
      <c r="F47" s="90"/>
      <c r="G47" s="70"/>
      <c r="H47" s="71"/>
      <c r="I47" s="70"/>
      <c r="J47" s="71"/>
      <c r="K47" s="70"/>
    </row>
    <row r="48" ht="173.25" customHeight="1">
      <c r="A48" s="69"/>
      <c r="B48" s="69"/>
      <c r="C48" s="69"/>
      <c r="D48" s="90"/>
      <c r="E48" s="90"/>
      <c r="F48" s="90"/>
      <c r="G48" s="70"/>
      <c r="H48" s="71"/>
      <c r="I48" s="70"/>
      <c r="J48" s="71"/>
      <c r="K48" s="70"/>
    </row>
    <row r="49" ht="147.75" customHeight="1">
      <c r="A49" s="69"/>
      <c r="B49" s="69"/>
      <c r="C49" s="69"/>
      <c r="D49" s="90"/>
      <c r="E49" s="90"/>
      <c r="F49" s="90"/>
      <c r="G49" s="70"/>
      <c r="H49" s="71"/>
      <c r="I49" s="70"/>
      <c r="J49" s="71"/>
      <c r="K49" s="70"/>
    </row>
    <row r="50" ht="137.25" customHeight="1">
      <c r="A50" s="69"/>
      <c r="B50" s="69"/>
      <c r="C50" s="69"/>
      <c r="D50" s="90"/>
      <c r="E50" s="90"/>
      <c r="F50" s="90"/>
      <c r="G50" s="70"/>
      <c r="H50" s="71"/>
      <c r="I50" s="70"/>
      <c r="J50" s="71"/>
      <c r="K50" s="70"/>
    </row>
    <row r="51" ht="195.0" customHeight="1">
      <c r="A51" s="69"/>
      <c r="B51" s="69"/>
      <c r="C51" s="69"/>
      <c r="D51" s="90"/>
      <c r="E51" s="90"/>
      <c r="F51" s="90"/>
      <c r="G51" s="70"/>
      <c r="H51" s="71"/>
      <c r="I51" s="70"/>
      <c r="J51" s="71"/>
      <c r="K51" s="70"/>
    </row>
    <row r="52" ht="206.25" customHeight="1">
      <c r="A52" s="69"/>
      <c r="B52" s="69"/>
      <c r="C52" s="69"/>
      <c r="D52" s="90"/>
      <c r="E52" s="90"/>
      <c r="F52" s="90"/>
      <c r="G52" s="70"/>
      <c r="H52" s="71"/>
      <c r="I52" s="70"/>
      <c r="J52" s="71"/>
      <c r="K52" s="70"/>
    </row>
    <row r="53" ht="176.25" customHeight="1">
      <c r="A53" s="69"/>
      <c r="B53" s="69"/>
      <c r="C53" s="69"/>
      <c r="D53" s="90"/>
      <c r="E53" s="90"/>
      <c r="F53" s="90"/>
      <c r="G53" s="70"/>
      <c r="H53" s="71"/>
      <c r="I53" s="70"/>
      <c r="J53" s="71"/>
      <c r="K53" s="70"/>
    </row>
    <row r="54" ht="264.0" customHeight="1">
      <c r="A54" s="69"/>
      <c r="B54" s="69"/>
      <c r="C54" s="69"/>
      <c r="D54" s="90"/>
      <c r="E54" s="90"/>
      <c r="F54" s="90"/>
      <c r="G54" s="70"/>
      <c r="H54" s="71"/>
      <c r="I54" s="70"/>
      <c r="J54" s="71"/>
      <c r="K54" s="70"/>
    </row>
    <row r="55" ht="166.5" customHeight="1">
      <c r="A55" s="69"/>
      <c r="B55" s="69"/>
      <c r="C55" s="69"/>
      <c r="D55" s="90"/>
      <c r="E55" s="90"/>
      <c r="F55" s="90"/>
      <c r="G55" s="70"/>
      <c r="H55" s="71"/>
      <c r="I55" s="70"/>
      <c r="J55" s="71"/>
      <c r="K55" s="70"/>
    </row>
    <row r="56" ht="171.0" customHeight="1">
      <c r="A56" s="69"/>
      <c r="B56" s="69"/>
      <c r="C56" s="69"/>
      <c r="D56" s="90"/>
      <c r="E56" s="90"/>
      <c r="F56" s="90"/>
      <c r="G56" s="70"/>
      <c r="H56" s="71"/>
      <c r="I56" s="70"/>
      <c r="J56" s="71"/>
      <c r="K56" s="70"/>
    </row>
    <row r="57" ht="255.0" customHeight="1">
      <c r="A57" s="69"/>
      <c r="B57" s="69"/>
      <c r="C57" s="69"/>
      <c r="D57" s="90"/>
      <c r="E57" s="90"/>
      <c r="F57" s="90"/>
      <c r="G57" s="70"/>
      <c r="H57" s="71"/>
      <c r="I57" s="70"/>
      <c r="J57" s="71"/>
      <c r="K57" s="70"/>
    </row>
    <row r="58" ht="165.0" customHeight="1">
      <c r="A58" s="69"/>
      <c r="B58" s="69"/>
      <c r="C58" s="69"/>
      <c r="D58" s="90"/>
      <c r="E58" s="90"/>
      <c r="F58" s="90"/>
      <c r="G58" s="70"/>
      <c r="H58" s="71"/>
      <c r="I58" s="70"/>
      <c r="J58" s="71"/>
      <c r="K58" s="70"/>
    </row>
    <row r="59" ht="156.75" customHeight="1">
      <c r="A59" s="69"/>
      <c r="B59" s="69"/>
      <c r="C59" s="69"/>
      <c r="D59" s="90"/>
      <c r="E59" s="90"/>
      <c r="F59" s="90"/>
      <c r="G59" s="70"/>
      <c r="H59" s="71"/>
      <c r="I59" s="70"/>
      <c r="J59" s="71"/>
      <c r="K59" s="70"/>
    </row>
    <row r="60" ht="156.75" customHeight="1">
      <c r="A60" s="69"/>
      <c r="B60" s="69"/>
      <c r="C60" s="69"/>
      <c r="D60" s="90"/>
      <c r="E60" s="90"/>
      <c r="F60" s="90"/>
      <c r="G60" s="70"/>
      <c r="H60" s="71"/>
      <c r="I60" s="70"/>
      <c r="J60" s="71"/>
      <c r="K60" s="70"/>
    </row>
    <row r="61" ht="223.5" customHeight="1">
      <c r="A61" s="69"/>
      <c r="B61" s="69"/>
      <c r="C61" s="69"/>
      <c r="D61" s="90"/>
      <c r="E61" s="90"/>
      <c r="F61" s="90"/>
      <c r="G61" s="70"/>
      <c r="H61" s="71"/>
      <c r="I61" s="70"/>
      <c r="J61" s="71"/>
      <c r="K61" s="70"/>
    </row>
    <row r="62" ht="230.25" customHeight="1">
      <c r="A62" s="69"/>
      <c r="B62" s="69"/>
      <c r="C62" s="69"/>
      <c r="D62" s="90"/>
      <c r="E62" s="90"/>
      <c r="F62" s="90"/>
      <c r="G62" s="70"/>
      <c r="H62" s="71"/>
      <c r="I62" s="70"/>
      <c r="J62" s="71"/>
      <c r="K62" s="70"/>
    </row>
    <row r="63" ht="234.0" customHeight="1">
      <c r="A63" s="69"/>
      <c r="B63" s="69"/>
      <c r="C63" s="69"/>
      <c r="D63" s="90"/>
      <c r="E63" s="90"/>
      <c r="F63" s="90"/>
      <c r="G63" s="70"/>
      <c r="H63" s="71"/>
      <c r="I63" s="70"/>
      <c r="J63" s="71"/>
      <c r="K63" s="70"/>
    </row>
    <row r="64" ht="135.0" customHeight="1">
      <c r="A64" s="69"/>
      <c r="B64" s="69"/>
      <c r="C64" s="69"/>
      <c r="D64" s="90"/>
      <c r="E64" s="90"/>
      <c r="F64" s="90"/>
      <c r="G64" s="70"/>
      <c r="H64" s="71"/>
      <c r="I64" s="70"/>
      <c r="J64" s="71"/>
      <c r="K64" s="70"/>
    </row>
    <row r="65" ht="144.0" customHeight="1">
      <c r="A65" s="69"/>
      <c r="B65" s="69"/>
      <c r="C65" s="69"/>
      <c r="D65" s="90"/>
      <c r="E65" s="90"/>
      <c r="F65" s="90"/>
      <c r="G65" s="70"/>
      <c r="H65" s="71"/>
      <c r="I65" s="70"/>
      <c r="J65" s="71"/>
      <c r="K65" s="70"/>
    </row>
    <row r="66" ht="156.0" customHeight="1">
      <c r="A66" s="69"/>
      <c r="B66" s="69"/>
      <c r="C66" s="69"/>
      <c r="D66" s="90"/>
      <c r="E66" s="90"/>
      <c r="F66" s="90"/>
      <c r="G66" s="70"/>
      <c r="H66" s="71"/>
      <c r="I66" s="70"/>
      <c r="J66" s="71"/>
      <c r="K66" s="70"/>
    </row>
    <row r="67" ht="212.25" customHeight="1">
      <c r="A67" s="69"/>
      <c r="B67" s="69"/>
      <c r="C67" s="69"/>
      <c r="D67" s="90"/>
      <c r="E67" s="90"/>
      <c r="F67" s="90"/>
      <c r="G67" s="70"/>
      <c r="H67" s="71"/>
      <c r="I67" s="70"/>
      <c r="J67" s="71"/>
      <c r="K67" s="70"/>
    </row>
    <row r="68" ht="216.75" customHeight="1">
      <c r="A68" s="69"/>
      <c r="B68" s="69"/>
      <c r="C68" s="69"/>
      <c r="D68" s="90"/>
      <c r="E68" s="90"/>
      <c r="F68" s="90"/>
      <c r="G68" s="70"/>
      <c r="H68" s="71"/>
      <c r="I68" s="70"/>
      <c r="J68" s="71"/>
      <c r="K68" s="70"/>
    </row>
    <row r="69" ht="158.25" customHeight="1">
      <c r="A69" s="69"/>
      <c r="B69" s="69"/>
      <c r="C69" s="69"/>
      <c r="D69" s="90"/>
      <c r="E69" s="90"/>
      <c r="F69" s="90"/>
      <c r="G69" s="70"/>
      <c r="H69" s="71"/>
      <c r="I69" s="70"/>
      <c r="J69" s="71"/>
      <c r="K69" s="70"/>
    </row>
    <row r="70" ht="33.75" customHeight="1">
      <c r="A70" s="69"/>
      <c r="B70" s="97"/>
      <c r="C70" s="96"/>
      <c r="D70" s="90"/>
      <c r="E70" s="90"/>
      <c r="F70" s="90"/>
      <c r="G70" s="70"/>
      <c r="H70" s="71"/>
      <c r="I70" s="70"/>
      <c r="J70" s="71"/>
      <c r="K70" s="70"/>
    </row>
    <row r="71" ht="28.5" customHeight="1">
      <c r="A71" s="69"/>
      <c r="B71" s="97"/>
      <c r="C71" s="96"/>
      <c r="D71" s="90"/>
      <c r="E71" s="90"/>
      <c r="F71" s="90"/>
      <c r="G71" s="70"/>
      <c r="H71" s="71"/>
      <c r="I71" s="70"/>
      <c r="J71" s="71"/>
      <c r="K71" s="70"/>
    </row>
    <row r="72" ht="30.0" customHeight="1">
      <c r="A72" s="69"/>
      <c r="B72" s="97"/>
      <c r="C72" s="96"/>
      <c r="D72" s="90"/>
      <c r="E72" s="90"/>
      <c r="F72" s="90"/>
      <c r="G72" s="70"/>
      <c r="H72" s="71"/>
      <c r="I72" s="70"/>
      <c r="J72" s="71"/>
      <c r="K72" s="70"/>
    </row>
    <row r="73" ht="189.75" customHeight="1">
      <c r="A73" s="69"/>
      <c r="B73" s="97"/>
      <c r="C73" s="96"/>
      <c r="D73" s="90"/>
      <c r="E73" s="90"/>
      <c r="F73" s="90"/>
      <c r="G73" s="70"/>
      <c r="H73" s="71"/>
      <c r="I73" s="70"/>
      <c r="J73" s="71"/>
      <c r="K73" s="70"/>
    </row>
    <row r="74" ht="229.5" customHeight="1">
      <c r="A74" s="69"/>
      <c r="B74" s="97"/>
      <c r="C74" s="96"/>
      <c r="D74" s="90"/>
      <c r="E74" s="90"/>
      <c r="F74" s="90"/>
      <c r="G74" s="70"/>
      <c r="H74" s="71"/>
      <c r="I74" s="70"/>
      <c r="J74" s="71"/>
      <c r="K74" s="70"/>
    </row>
    <row r="75" ht="130.5" customHeight="1">
      <c r="A75" s="69"/>
      <c r="B75" s="97"/>
      <c r="C75" s="96"/>
      <c r="D75" s="90"/>
      <c r="E75" s="90"/>
      <c r="F75" s="90"/>
      <c r="G75" s="70"/>
      <c r="H75" s="71"/>
      <c r="I75" s="70"/>
      <c r="J75" s="71"/>
      <c r="K75" s="70"/>
    </row>
    <row r="76" ht="178.5" customHeight="1">
      <c r="A76" s="69"/>
      <c r="B76" s="97"/>
      <c r="C76" s="96"/>
      <c r="D76" s="90"/>
      <c r="E76" s="90"/>
      <c r="F76" s="90"/>
      <c r="G76" s="70"/>
      <c r="H76" s="71"/>
      <c r="I76" s="70"/>
      <c r="J76" s="71"/>
      <c r="K76" s="70"/>
    </row>
    <row r="77" ht="217.5" customHeight="1">
      <c r="A77" s="69"/>
      <c r="B77" s="97"/>
      <c r="C77" s="96"/>
      <c r="D77" s="90"/>
      <c r="E77" s="90"/>
      <c r="F77" s="90"/>
      <c r="G77" s="70"/>
      <c r="H77" s="71"/>
      <c r="I77" s="70"/>
      <c r="J77" s="71"/>
      <c r="K77" s="70"/>
    </row>
    <row r="78" ht="90.0" customHeight="1">
      <c r="A78" s="75"/>
      <c r="B78" s="75"/>
      <c r="C78" s="75"/>
      <c r="D78" s="79"/>
      <c r="E78" s="79"/>
      <c r="F78" s="79"/>
      <c r="G78" s="77"/>
      <c r="H78" s="79"/>
    </row>
    <row r="79" ht="90.0" customHeight="1">
      <c r="A79" s="80"/>
      <c r="B79" s="80"/>
      <c r="C79" s="80"/>
      <c r="D79" s="84"/>
      <c r="E79" s="84"/>
      <c r="F79" s="84"/>
      <c r="G79" s="82"/>
      <c r="H79" s="84"/>
    </row>
    <row r="80" ht="90.0" customHeight="1">
      <c r="A80" s="80"/>
      <c r="B80" s="80"/>
      <c r="C80" s="80"/>
      <c r="D80" s="84"/>
      <c r="E80" s="84"/>
      <c r="F80" s="84"/>
      <c r="G80" s="82"/>
      <c r="H80" s="84"/>
    </row>
    <row r="81" ht="90.0" customHeight="1"/>
    <row r="82" ht="90.0" customHeight="1"/>
    <row r="83" ht="90.0" customHeight="1"/>
    <row r="84" ht="90.0"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$M$5:$Q$5</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31.0"/>
    <col customWidth="1" min="8" max="8" width="34.14"/>
    <col customWidth="1" min="9" max="9" width="29.43"/>
    <col customWidth="1" min="10" max="10" width="26.29"/>
    <col customWidth="1" min="11" max="11" width="27.71"/>
    <col customWidth="1" min="12" max="26" width="8.71"/>
  </cols>
  <sheetData>
    <row r="1" ht="30.0" customHeight="1">
      <c r="A1" s="6" t="s">
        <v>237</v>
      </c>
      <c r="B1" s="8"/>
      <c r="C1" s="8"/>
      <c r="D1" s="8"/>
      <c r="E1" s="8"/>
      <c r="F1" s="8"/>
      <c r="G1" s="8"/>
      <c r="H1" s="8"/>
      <c r="I1" s="8"/>
      <c r="J1" s="8"/>
      <c r="K1" s="10"/>
    </row>
    <row r="2" ht="24.75" customHeight="1">
      <c r="A2" s="11" t="s">
        <v>242</v>
      </c>
      <c r="B2" s="8"/>
      <c r="C2" s="8"/>
      <c r="D2" s="8"/>
      <c r="E2" s="8"/>
      <c r="F2" s="8"/>
      <c r="G2" s="8"/>
      <c r="H2" s="8"/>
      <c r="I2" s="8"/>
      <c r="J2" s="8"/>
      <c r="K2" s="10"/>
    </row>
    <row r="3" ht="7.5" customHeight="1"/>
    <row r="4" ht="34.5" customHeight="1">
      <c r="A4" s="12" t="s">
        <v>11</v>
      </c>
      <c r="B4" s="12" t="s">
        <v>12</v>
      </c>
      <c r="C4" s="12" t="s">
        <v>13</v>
      </c>
      <c r="D4" s="12" t="s">
        <v>14</v>
      </c>
      <c r="E4" s="12" t="s">
        <v>15</v>
      </c>
      <c r="F4" s="12" t="s">
        <v>16</v>
      </c>
      <c r="G4" s="12" t="s">
        <v>17</v>
      </c>
      <c r="H4" s="12" t="s">
        <v>18</v>
      </c>
      <c r="I4" s="12" t="s">
        <v>19</v>
      </c>
      <c r="J4" s="12" t="s">
        <v>20</v>
      </c>
      <c r="K4" s="12" t="s">
        <v>21</v>
      </c>
    </row>
    <row r="5" ht="90.0" customHeight="1">
      <c r="A5" s="14">
        <v>1.0</v>
      </c>
      <c r="B5" s="14" t="s">
        <v>24</v>
      </c>
      <c r="C5" s="14" t="s">
        <v>25</v>
      </c>
      <c r="D5" s="17" t="s">
        <v>26</v>
      </c>
      <c r="E5" s="17" t="s">
        <v>28</v>
      </c>
      <c r="F5" s="17" t="s">
        <v>28</v>
      </c>
      <c r="G5" s="30"/>
      <c r="H5" s="93"/>
      <c r="I5" s="30"/>
      <c r="J5" s="93"/>
      <c r="K5" s="30"/>
    </row>
    <row r="6" ht="147.75" customHeight="1">
      <c r="A6" s="19">
        <v>2.0</v>
      </c>
      <c r="B6" s="19" t="s">
        <v>24</v>
      </c>
      <c r="C6" s="19" t="s">
        <v>34</v>
      </c>
      <c r="D6" s="21" t="s">
        <v>35</v>
      </c>
      <c r="E6" s="21" t="s">
        <v>257</v>
      </c>
      <c r="F6" s="21" t="s">
        <v>258</v>
      </c>
      <c r="G6" s="100">
        <v>4.0</v>
      </c>
      <c r="H6" s="100">
        <v>2.0</v>
      </c>
      <c r="I6" s="100">
        <v>3.0</v>
      </c>
      <c r="J6" s="101">
        <v>4.0</v>
      </c>
      <c r="K6" s="30">
        <f t="shared" ref="K6:K38" si="1">AVERAGE(G6:J6)</f>
        <v>3.25</v>
      </c>
    </row>
    <row r="7" ht="182.25" customHeight="1">
      <c r="A7" s="14">
        <v>3.0</v>
      </c>
      <c r="B7" s="41" t="s">
        <v>24</v>
      </c>
      <c r="C7" s="41" t="s">
        <v>70</v>
      </c>
      <c r="D7" s="44" t="s">
        <v>72</v>
      </c>
      <c r="E7" s="44" t="s">
        <v>265</v>
      </c>
      <c r="F7" s="44" t="s">
        <v>266</v>
      </c>
      <c r="G7" s="100">
        <v>4.0</v>
      </c>
      <c r="H7" s="100">
        <v>2.0</v>
      </c>
      <c r="I7" s="100">
        <v>3.0</v>
      </c>
      <c r="J7" s="101">
        <v>4.0</v>
      </c>
      <c r="K7" s="30">
        <f t="shared" si="1"/>
        <v>3.25</v>
      </c>
    </row>
    <row r="8" ht="207.75" customHeight="1">
      <c r="A8" s="19">
        <v>4.0</v>
      </c>
      <c r="B8" s="19" t="s">
        <v>97</v>
      </c>
      <c r="C8" s="19" t="s">
        <v>25</v>
      </c>
      <c r="D8" s="21" t="s">
        <v>98</v>
      </c>
      <c r="E8" s="21" t="s">
        <v>269</v>
      </c>
      <c r="F8" s="21" t="s">
        <v>270</v>
      </c>
      <c r="G8" s="100">
        <v>4.0</v>
      </c>
      <c r="H8" s="100">
        <v>4.0</v>
      </c>
      <c r="I8" s="100">
        <v>3.0</v>
      </c>
      <c r="J8" s="101">
        <v>4.0</v>
      </c>
      <c r="K8" s="30">
        <f t="shared" si="1"/>
        <v>3.75</v>
      </c>
    </row>
    <row r="9" ht="172.5" customHeight="1">
      <c r="A9" s="14">
        <v>5.0</v>
      </c>
      <c r="B9" s="14" t="s">
        <v>97</v>
      </c>
      <c r="C9" s="14" t="s">
        <v>70</v>
      </c>
      <c r="D9" s="17" t="s">
        <v>104</v>
      </c>
      <c r="E9" s="17" t="s">
        <v>273</v>
      </c>
      <c r="F9" s="17" t="s">
        <v>274</v>
      </c>
      <c r="G9" s="100">
        <v>4.0</v>
      </c>
      <c r="H9" s="100">
        <v>4.0</v>
      </c>
      <c r="I9" s="100">
        <v>3.0</v>
      </c>
      <c r="J9" s="101">
        <v>4.0</v>
      </c>
      <c r="K9" s="30">
        <f t="shared" si="1"/>
        <v>3.75</v>
      </c>
    </row>
    <row r="10" ht="260.25" customHeight="1">
      <c r="A10" s="19">
        <v>6.0</v>
      </c>
      <c r="B10" s="19" t="s">
        <v>97</v>
      </c>
      <c r="C10" s="19" t="s">
        <v>112</v>
      </c>
      <c r="D10" s="21" t="s">
        <v>114</v>
      </c>
      <c r="E10" s="21" t="s">
        <v>277</v>
      </c>
      <c r="F10" s="21" t="s">
        <v>280</v>
      </c>
      <c r="G10" s="100">
        <v>4.0</v>
      </c>
      <c r="H10" s="100">
        <v>4.0</v>
      </c>
      <c r="I10" s="100">
        <v>4.0</v>
      </c>
      <c r="J10" s="101">
        <v>4.0</v>
      </c>
      <c r="K10" s="30">
        <f t="shared" si="1"/>
        <v>4</v>
      </c>
    </row>
    <row r="11" ht="165.75" customHeight="1">
      <c r="A11" s="14">
        <v>7.0</v>
      </c>
      <c r="B11" s="14" t="s">
        <v>123</v>
      </c>
      <c r="C11" s="14" t="s">
        <v>25</v>
      </c>
      <c r="D11" s="17" t="s">
        <v>125</v>
      </c>
      <c r="E11" s="17" t="s">
        <v>283</v>
      </c>
      <c r="F11" s="17" t="s">
        <v>284</v>
      </c>
      <c r="G11" s="100">
        <v>4.0</v>
      </c>
      <c r="H11" s="100">
        <v>4.0</v>
      </c>
      <c r="I11" s="100">
        <v>4.0</v>
      </c>
      <c r="J11" s="101">
        <v>4.0</v>
      </c>
      <c r="K11" s="30">
        <f t="shared" si="1"/>
        <v>4</v>
      </c>
    </row>
    <row r="12" ht="279.75" customHeight="1">
      <c r="A12" s="19">
        <v>8.0</v>
      </c>
      <c r="B12" s="19" t="s">
        <v>123</v>
      </c>
      <c r="C12" s="19" t="s">
        <v>70</v>
      </c>
      <c r="D12" s="21" t="s">
        <v>128</v>
      </c>
      <c r="E12" s="21" t="s">
        <v>287</v>
      </c>
      <c r="F12" s="21" t="s">
        <v>288</v>
      </c>
      <c r="G12" s="100">
        <v>4.0</v>
      </c>
      <c r="H12" s="100">
        <v>4.0</v>
      </c>
      <c r="I12" s="100">
        <v>4.0</v>
      </c>
      <c r="J12" s="101">
        <v>4.0</v>
      </c>
      <c r="K12" s="30">
        <f t="shared" si="1"/>
        <v>4</v>
      </c>
    </row>
    <row r="13" ht="206.25" customHeight="1">
      <c r="A13" s="14">
        <v>9.0</v>
      </c>
      <c r="B13" s="41" t="s">
        <v>131</v>
      </c>
      <c r="C13" s="41" t="s">
        <v>132</v>
      </c>
      <c r="D13" s="44" t="s">
        <v>133</v>
      </c>
      <c r="E13" s="44" t="s">
        <v>293</v>
      </c>
      <c r="F13" s="44" t="s">
        <v>294</v>
      </c>
      <c r="G13" s="100">
        <v>4.0</v>
      </c>
      <c r="H13" s="100">
        <v>4.0</v>
      </c>
      <c r="I13" s="100">
        <v>4.0</v>
      </c>
      <c r="J13" s="101">
        <v>4.0</v>
      </c>
      <c r="K13" s="30">
        <f t="shared" si="1"/>
        <v>4</v>
      </c>
    </row>
    <row r="14" ht="214.5" customHeight="1">
      <c r="A14" s="19">
        <v>10.0</v>
      </c>
      <c r="B14" s="19" t="s">
        <v>136</v>
      </c>
      <c r="C14" s="19" t="s">
        <v>25</v>
      </c>
      <c r="D14" s="21" t="s">
        <v>137</v>
      </c>
      <c r="E14" s="21" t="s">
        <v>297</v>
      </c>
      <c r="F14" s="21" t="s">
        <v>298</v>
      </c>
      <c r="G14" s="100">
        <v>4.0</v>
      </c>
      <c r="H14" s="100">
        <v>4.0</v>
      </c>
      <c r="I14" s="100">
        <v>4.0</v>
      </c>
      <c r="J14" s="101">
        <v>4.0</v>
      </c>
      <c r="K14" s="30">
        <f t="shared" si="1"/>
        <v>4</v>
      </c>
    </row>
    <row r="15" ht="138.0" customHeight="1">
      <c r="A15" s="14">
        <v>11.0</v>
      </c>
      <c r="B15" s="14" t="s">
        <v>140</v>
      </c>
      <c r="C15" s="14" t="s">
        <v>25</v>
      </c>
      <c r="D15" s="17" t="s">
        <v>141</v>
      </c>
      <c r="E15" s="17" t="s">
        <v>301</v>
      </c>
      <c r="F15" s="17" t="s">
        <v>302</v>
      </c>
      <c r="G15" s="100">
        <v>4.0</v>
      </c>
      <c r="H15" s="100">
        <v>4.0</v>
      </c>
      <c r="I15" s="100">
        <v>4.0</v>
      </c>
      <c r="J15" s="101">
        <v>4.0</v>
      </c>
      <c r="K15" s="30">
        <f t="shared" si="1"/>
        <v>4</v>
      </c>
    </row>
    <row r="16" ht="172.5" customHeight="1">
      <c r="A16" s="19">
        <v>12.0</v>
      </c>
      <c r="B16" s="19" t="s">
        <v>140</v>
      </c>
      <c r="C16" s="19" t="s">
        <v>144</v>
      </c>
      <c r="D16" s="21" t="s">
        <v>145</v>
      </c>
      <c r="E16" s="102" t="s">
        <v>305</v>
      </c>
      <c r="F16" s="21" t="s">
        <v>306</v>
      </c>
      <c r="G16" s="100">
        <v>4.0</v>
      </c>
      <c r="H16" s="100">
        <v>4.0</v>
      </c>
      <c r="I16" s="100">
        <v>3.0</v>
      </c>
      <c r="J16" s="101">
        <v>4.0</v>
      </c>
      <c r="K16" s="30">
        <f t="shared" si="1"/>
        <v>3.75</v>
      </c>
    </row>
    <row r="17" ht="173.25" customHeight="1">
      <c r="A17" s="14">
        <v>13.0</v>
      </c>
      <c r="B17" s="41" t="s">
        <v>140</v>
      </c>
      <c r="C17" s="41" t="s">
        <v>148</v>
      </c>
      <c r="D17" s="44" t="s">
        <v>149</v>
      </c>
      <c r="E17" s="44" t="s">
        <v>309</v>
      </c>
      <c r="F17" s="44" t="s">
        <v>310</v>
      </c>
      <c r="G17" s="100">
        <v>4.0</v>
      </c>
      <c r="H17" s="100">
        <v>4.0</v>
      </c>
      <c r="I17" s="100">
        <v>4.0</v>
      </c>
      <c r="J17" s="101">
        <v>4.0</v>
      </c>
      <c r="K17" s="30">
        <f t="shared" si="1"/>
        <v>4</v>
      </c>
    </row>
    <row r="18" ht="226.5" customHeight="1">
      <c r="A18" s="19">
        <v>14.0</v>
      </c>
      <c r="B18" s="19" t="s">
        <v>152</v>
      </c>
      <c r="C18" s="19" t="s">
        <v>25</v>
      </c>
      <c r="D18" s="21" t="s">
        <v>153</v>
      </c>
      <c r="E18" s="21" t="s">
        <v>313</v>
      </c>
      <c r="F18" s="21" t="s">
        <v>315</v>
      </c>
      <c r="G18" s="100">
        <v>4.0</v>
      </c>
      <c r="H18" s="100">
        <v>4.0</v>
      </c>
      <c r="I18" s="100">
        <v>4.0</v>
      </c>
      <c r="J18" s="101">
        <v>4.0</v>
      </c>
      <c r="K18" s="30">
        <f t="shared" si="1"/>
        <v>4</v>
      </c>
    </row>
    <row r="19" ht="227.25" customHeight="1">
      <c r="A19" s="14">
        <v>15.0</v>
      </c>
      <c r="B19" s="14" t="s">
        <v>152</v>
      </c>
      <c r="C19" s="14" t="s">
        <v>70</v>
      </c>
      <c r="D19" s="17" t="s">
        <v>156</v>
      </c>
      <c r="E19" s="17" t="s">
        <v>319</v>
      </c>
      <c r="F19" s="17" t="s">
        <v>320</v>
      </c>
      <c r="G19" s="100">
        <v>4.0</v>
      </c>
      <c r="H19" s="100">
        <v>4.0</v>
      </c>
      <c r="I19" s="100">
        <v>4.0</v>
      </c>
      <c r="J19" s="101">
        <v>4.0</v>
      </c>
      <c r="K19" s="30">
        <f t="shared" si="1"/>
        <v>4</v>
      </c>
    </row>
    <row r="20" ht="143.25" customHeight="1">
      <c r="A20" s="19">
        <v>16.0</v>
      </c>
      <c r="B20" s="19" t="s">
        <v>152</v>
      </c>
      <c r="C20" s="19" t="s">
        <v>112</v>
      </c>
      <c r="D20" s="21" t="s">
        <v>159</v>
      </c>
      <c r="E20" s="21" t="s">
        <v>321</v>
      </c>
      <c r="F20" s="21" t="s">
        <v>322</v>
      </c>
      <c r="G20" s="100">
        <v>4.0</v>
      </c>
      <c r="H20" s="100">
        <v>4.0</v>
      </c>
      <c r="I20" s="100">
        <v>4.0</v>
      </c>
      <c r="J20" s="101">
        <v>4.0</v>
      </c>
      <c r="K20" s="30">
        <f t="shared" si="1"/>
        <v>4</v>
      </c>
    </row>
    <row r="21" ht="192.75" customHeight="1">
      <c r="A21" s="14">
        <v>17.0</v>
      </c>
      <c r="B21" s="41" t="s">
        <v>162</v>
      </c>
      <c r="C21" s="41" t="s">
        <v>70</v>
      </c>
      <c r="D21" s="44" t="s">
        <v>163</v>
      </c>
      <c r="E21" s="44" t="s">
        <v>325</v>
      </c>
      <c r="F21" s="44" t="s">
        <v>326</v>
      </c>
      <c r="G21" s="100">
        <v>4.0</v>
      </c>
      <c r="H21" s="100">
        <v>4.0</v>
      </c>
      <c r="I21" s="100">
        <v>4.0</v>
      </c>
      <c r="J21" s="101">
        <v>4.0</v>
      </c>
      <c r="K21" s="30">
        <f t="shared" si="1"/>
        <v>4</v>
      </c>
    </row>
    <row r="22" ht="164.25" customHeight="1">
      <c r="A22" s="19">
        <v>18.0</v>
      </c>
      <c r="B22" s="72" t="s">
        <v>162</v>
      </c>
      <c r="C22" s="72" t="s">
        <v>112</v>
      </c>
      <c r="D22" s="73" t="s">
        <v>166</v>
      </c>
      <c r="E22" s="73" t="s">
        <v>327</v>
      </c>
      <c r="F22" s="73" t="s">
        <v>329</v>
      </c>
      <c r="G22" s="100">
        <v>4.0</v>
      </c>
      <c r="H22" s="100">
        <v>4.0</v>
      </c>
      <c r="I22" s="100">
        <v>4.0</v>
      </c>
      <c r="J22" s="101">
        <v>4.0</v>
      </c>
      <c r="K22" s="30">
        <f t="shared" si="1"/>
        <v>4</v>
      </c>
    </row>
    <row r="23" ht="198.0" customHeight="1">
      <c r="A23" s="14">
        <v>19.0</v>
      </c>
      <c r="B23" s="41" t="s">
        <v>169</v>
      </c>
      <c r="C23" s="41" t="s">
        <v>25</v>
      </c>
      <c r="D23" s="44" t="s">
        <v>170</v>
      </c>
      <c r="E23" s="44" t="s">
        <v>331</v>
      </c>
      <c r="F23" s="44" t="s">
        <v>332</v>
      </c>
      <c r="G23" s="100">
        <v>4.0</v>
      </c>
      <c r="H23" s="100">
        <v>4.0</v>
      </c>
      <c r="I23" s="100">
        <v>4.0</v>
      </c>
      <c r="J23" s="101">
        <v>4.0</v>
      </c>
      <c r="K23" s="30">
        <f t="shared" si="1"/>
        <v>4</v>
      </c>
    </row>
    <row r="24" ht="222.0" customHeight="1">
      <c r="A24" s="19">
        <v>20.0</v>
      </c>
      <c r="B24" s="19" t="s">
        <v>169</v>
      </c>
      <c r="C24" s="19" t="s">
        <v>112</v>
      </c>
      <c r="D24" s="21" t="s">
        <v>173</v>
      </c>
      <c r="E24" s="21" t="s">
        <v>333</v>
      </c>
      <c r="F24" s="21" t="s">
        <v>334</v>
      </c>
      <c r="G24" s="100">
        <v>4.0</v>
      </c>
      <c r="H24" s="100">
        <v>4.0</v>
      </c>
      <c r="I24" s="100">
        <v>4.0</v>
      </c>
      <c r="J24" s="101">
        <v>4.0</v>
      </c>
      <c r="K24" s="30">
        <f t="shared" si="1"/>
        <v>4</v>
      </c>
    </row>
    <row r="25" ht="205.5" customHeight="1">
      <c r="A25" s="14">
        <v>21.0</v>
      </c>
      <c r="B25" s="106" t="s">
        <v>176</v>
      </c>
      <c r="C25" s="106" t="s">
        <v>25</v>
      </c>
      <c r="D25" s="107" t="s">
        <v>177</v>
      </c>
      <c r="E25" s="107" t="s">
        <v>337</v>
      </c>
      <c r="F25" s="107" t="s">
        <v>338</v>
      </c>
      <c r="G25" s="100">
        <v>4.0</v>
      </c>
      <c r="H25" s="100">
        <v>4.0</v>
      </c>
      <c r="I25" s="100">
        <v>4.0</v>
      </c>
      <c r="J25" s="101">
        <v>4.0</v>
      </c>
      <c r="K25" s="30">
        <f t="shared" si="1"/>
        <v>4</v>
      </c>
    </row>
    <row r="26" ht="163.5" customHeight="1">
      <c r="A26" s="19">
        <v>22.0</v>
      </c>
      <c r="B26" s="108" t="s">
        <v>180</v>
      </c>
      <c r="C26" s="108" t="s">
        <v>25</v>
      </c>
      <c r="D26" s="109" t="s">
        <v>181</v>
      </c>
      <c r="E26" s="109" t="s">
        <v>339</v>
      </c>
      <c r="F26" s="109" t="s">
        <v>340</v>
      </c>
      <c r="G26" s="100">
        <v>4.0</v>
      </c>
      <c r="H26" s="100">
        <v>4.0</v>
      </c>
      <c r="I26" s="100">
        <v>4.0</v>
      </c>
      <c r="J26" s="101">
        <v>4.0</v>
      </c>
      <c r="K26" s="30">
        <f t="shared" si="1"/>
        <v>4</v>
      </c>
    </row>
    <row r="27" ht="157.5" customHeight="1">
      <c r="A27" s="14">
        <v>23.0</v>
      </c>
      <c r="B27" s="106" t="s">
        <v>184</v>
      </c>
      <c r="C27" s="106" t="s">
        <v>70</v>
      </c>
      <c r="D27" s="107" t="s">
        <v>185</v>
      </c>
      <c r="E27" s="107" t="s">
        <v>341</v>
      </c>
      <c r="F27" s="107" t="s">
        <v>342</v>
      </c>
      <c r="G27" s="100">
        <v>4.0</v>
      </c>
      <c r="H27" s="100">
        <v>4.0</v>
      </c>
      <c r="I27" s="100">
        <v>4.0</v>
      </c>
      <c r="J27" s="101">
        <v>4.0</v>
      </c>
      <c r="K27" s="30">
        <f t="shared" si="1"/>
        <v>4</v>
      </c>
    </row>
    <row r="28" ht="150.75" customHeight="1">
      <c r="A28" s="19">
        <v>24.0</v>
      </c>
      <c r="B28" s="108" t="s">
        <v>188</v>
      </c>
      <c r="C28" s="108" t="s">
        <v>25</v>
      </c>
      <c r="D28" s="109" t="s">
        <v>189</v>
      </c>
      <c r="E28" s="109" t="s">
        <v>343</v>
      </c>
      <c r="F28" s="109" t="s">
        <v>344</v>
      </c>
      <c r="G28" s="100">
        <v>4.0</v>
      </c>
      <c r="H28" s="100">
        <v>4.0</v>
      </c>
      <c r="I28" s="100">
        <v>4.0</v>
      </c>
      <c r="J28" s="101">
        <v>4.0</v>
      </c>
      <c r="K28" s="30">
        <f t="shared" si="1"/>
        <v>4</v>
      </c>
    </row>
    <row r="29" ht="216.75" customHeight="1">
      <c r="A29" s="14">
        <v>25.0</v>
      </c>
      <c r="B29" s="110" t="s">
        <v>192</v>
      </c>
      <c r="C29" s="110" t="s">
        <v>25</v>
      </c>
      <c r="D29" s="111" t="s">
        <v>193</v>
      </c>
      <c r="E29" s="111" t="s">
        <v>345</v>
      </c>
      <c r="F29" s="111" t="s">
        <v>346</v>
      </c>
      <c r="G29" s="100">
        <v>4.0</v>
      </c>
      <c r="H29" s="100">
        <v>3.0</v>
      </c>
      <c r="I29" s="100">
        <v>3.0</v>
      </c>
      <c r="J29" s="101">
        <v>4.0</v>
      </c>
      <c r="K29" s="30">
        <f t="shared" si="1"/>
        <v>3.5</v>
      </c>
    </row>
    <row r="30" ht="238.5" customHeight="1">
      <c r="A30" s="19">
        <v>26.0</v>
      </c>
      <c r="B30" s="112" t="s">
        <v>192</v>
      </c>
      <c r="C30" s="112" t="s">
        <v>70</v>
      </c>
      <c r="D30" s="113" t="s">
        <v>196</v>
      </c>
      <c r="E30" s="113" t="s">
        <v>347</v>
      </c>
      <c r="F30" s="113" t="s">
        <v>348</v>
      </c>
      <c r="G30" s="100">
        <v>4.0</v>
      </c>
      <c r="H30" s="100">
        <v>4.0</v>
      </c>
      <c r="I30" s="100">
        <v>4.0</v>
      </c>
      <c r="J30" s="101">
        <v>4.0</v>
      </c>
      <c r="K30" s="30">
        <f t="shared" si="1"/>
        <v>4</v>
      </c>
    </row>
    <row r="31" ht="171.0" customHeight="1">
      <c r="A31" s="14">
        <v>27.0</v>
      </c>
      <c r="B31" s="110" t="s">
        <v>192</v>
      </c>
      <c r="C31" s="110" t="s">
        <v>112</v>
      </c>
      <c r="D31" s="111" t="s">
        <v>199</v>
      </c>
      <c r="E31" s="111" t="s">
        <v>349</v>
      </c>
      <c r="F31" s="111" t="s">
        <v>350</v>
      </c>
      <c r="G31" s="100">
        <v>4.0</v>
      </c>
      <c r="H31" s="100">
        <v>4.0</v>
      </c>
      <c r="I31" s="100">
        <v>4.0</v>
      </c>
      <c r="J31" s="101">
        <v>4.0</v>
      </c>
      <c r="K31" s="30">
        <f t="shared" si="1"/>
        <v>4</v>
      </c>
    </row>
    <row r="32" ht="194.25" customHeight="1">
      <c r="A32" s="19">
        <v>28.0</v>
      </c>
      <c r="B32" s="72" t="s">
        <v>202</v>
      </c>
      <c r="C32" s="72" t="s">
        <v>25</v>
      </c>
      <c r="D32" s="73" t="s">
        <v>203</v>
      </c>
      <c r="E32" s="73" t="s">
        <v>351</v>
      </c>
      <c r="F32" s="73" t="s">
        <v>352</v>
      </c>
      <c r="G32" s="100">
        <v>4.0</v>
      </c>
      <c r="H32" s="100">
        <v>4.0</v>
      </c>
      <c r="I32" s="100">
        <v>4.0</v>
      </c>
      <c r="J32" s="101">
        <v>4.0</v>
      </c>
      <c r="K32" s="30">
        <f t="shared" si="1"/>
        <v>4</v>
      </c>
    </row>
    <row r="33" ht="203.25" customHeight="1">
      <c r="A33" s="14">
        <v>29.0</v>
      </c>
      <c r="B33" s="41" t="s">
        <v>202</v>
      </c>
      <c r="C33" s="41" t="s">
        <v>70</v>
      </c>
      <c r="D33" s="44" t="s">
        <v>206</v>
      </c>
      <c r="E33" s="44" t="s">
        <v>353</v>
      </c>
      <c r="F33" s="44" t="s">
        <v>354</v>
      </c>
      <c r="G33" s="100">
        <v>4.0</v>
      </c>
      <c r="H33" s="100">
        <v>3.0</v>
      </c>
      <c r="I33" s="100">
        <v>3.0</v>
      </c>
      <c r="J33" s="101">
        <v>4.0</v>
      </c>
      <c r="K33" s="30">
        <f t="shared" si="1"/>
        <v>3.5</v>
      </c>
    </row>
    <row r="34" ht="168.0" customHeight="1">
      <c r="A34" s="19">
        <v>30.0</v>
      </c>
      <c r="B34" s="19" t="s">
        <v>202</v>
      </c>
      <c r="C34" s="19" t="s">
        <v>112</v>
      </c>
      <c r="D34" s="21" t="s">
        <v>209</v>
      </c>
      <c r="E34" s="21" t="s">
        <v>355</v>
      </c>
      <c r="F34" s="21" t="s">
        <v>356</v>
      </c>
      <c r="G34" s="100">
        <v>4.0</v>
      </c>
      <c r="H34" s="100">
        <v>4.0</v>
      </c>
      <c r="I34" s="100">
        <v>4.0</v>
      </c>
      <c r="J34" s="101">
        <v>4.0</v>
      </c>
      <c r="K34" s="30">
        <f t="shared" si="1"/>
        <v>4</v>
      </c>
    </row>
    <row r="35" ht="204.0" customHeight="1">
      <c r="A35" s="14">
        <v>31.0</v>
      </c>
      <c r="B35" s="41" t="s">
        <v>212</v>
      </c>
      <c r="C35" s="41" t="s">
        <v>25</v>
      </c>
      <c r="D35" s="44" t="s">
        <v>213</v>
      </c>
      <c r="E35" s="44" t="s">
        <v>357</v>
      </c>
      <c r="F35" s="44" t="s">
        <v>358</v>
      </c>
      <c r="G35" s="100">
        <v>4.0</v>
      </c>
      <c r="H35" s="100">
        <v>4.0</v>
      </c>
      <c r="I35" s="100">
        <v>4.0</v>
      </c>
      <c r="J35" s="101">
        <v>4.0</v>
      </c>
      <c r="K35" s="30">
        <f t="shared" si="1"/>
        <v>4</v>
      </c>
    </row>
    <row r="36" ht="169.5" customHeight="1">
      <c r="A36" s="19">
        <v>32.0</v>
      </c>
      <c r="B36" s="74">
        <v>46197.0</v>
      </c>
      <c r="C36" s="114">
        <v>0.5</v>
      </c>
      <c r="D36" s="113" t="s">
        <v>216</v>
      </c>
      <c r="E36" s="113" t="s">
        <v>359</v>
      </c>
      <c r="F36" s="113" t="s">
        <v>360</v>
      </c>
      <c r="G36" s="100">
        <v>4.0</v>
      </c>
      <c r="H36" s="100">
        <v>4.0</v>
      </c>
      <c r="I36" s="100">
        <v>4.0</v>
      </c>
      <c r="J36" s="101">
        <v>4.0</v>
      </c>
      <c r="K36" s="30">
        <f t="shared" si="1"/>
        <v>4</v>
      </c>
    </row>
    <row r="37" ht="195.75" customHeight="1">
      <c r="A37" s="81">
        <v>33.0</v>
      </c>
      <c r="B37" s="83">
        <v>46197.0</v>
      </c>
      <c r="C37" s="115">
        <v>0.666666666666667</v>
      </c>
      <c r="D37" s="116" t="s">
        <v>219</v>
      </c>
      <c r="E37" s="116" t="s">
        <v>361</v>
      </c>
      <c r="F37" s="116" t="s">
        <v>362</v>
      </c>
      <c r="G37" s="100">
        <v>4.0</v>
      </c>
      <c r="H37" s="100">
        <v>4.0</v>
      </c>
      <c r="I37" s="100">
        <v>4.0</v>
      </c>
      <c r="J37" s="101">
        <v>3.0</v>
      </c>
      <c r="K37" s="67">
        <f t="shared" si="1"/>
        <v>3.75</v>
      </c>
    </row>
    <row r="38" ht="182.25" customHeight="1">
      <c r="A38" s="88">
        <v>34.0</v>
      </c>
      <c r="B38" s="89">
        <v>46198.0</v>
      </c>
      <c r="C38" s="117">
        <v>0.5</v>
      </c>
      <c r="D38" s="118" t="s">
        <v>222</v>
      </c>
      <c r="E38" s="118" t="s">
        <v>363</v>
      </c>
      <c r="F38" s="118" t="s">
        <v>364</v>
      </c>
      <c r="G38" s="100">
        <v>4.0</v>
      </c>
      <c r="H38" s="100">
        <v>2.0</v>
      </c>
      <c r="I38" s="100">
        <v>4.0</v>
      </c>
      <c r="J38" s="101">
        <v>4.0</v>
      </c>
      <c r="K38" s="68">
        <f t="shared" si="1"/>
        <v>3.5</v>
      </c>
    </row>
    <row r="39" ht="174.75" customHeight="1">
      <c r="A39" s="69"/>
      <c r="B39" s="69"/>
      <c r="C39" s="69"/>
      <c r="D39" s="90"/>
      <c r="E39" s="90"/>
      <c r="F39" s="91" t="s">
        <v>225</v>
      </c>
      <c r="G39" s="70">
        <f t="shared" ref="G39:K39" si="2">SUM(G5:G38)</f>
        <v>132</v>
      </c>
      <c r="H39" s="70">
        <f t="shared" si="2"/>
        <v>124</v>
      </c>
      <c r="I39" s="70">
        <f t="shared" si="2"/>
        <v>125</v>
      </c>
      <c r="J39" s="70">
        <f t="shared" si="2"/>
        <v>131</v>
      </c>
      <c r="K39" s="70">
        <f t="shared" si="2"/>
        <v>128</v>
      </c>
    </row>
    <row r="40" ht="164.25" customHeight="1">
      <c r="A40" s="69"/>
      <c r="B40" s="69"/>
      <c r="C40" s="69"/>
      <c r="D40" s="90"/>
      <c r="E40" s="90"/>
      <c r="F40" s="91" t="s">
        <v>226</v>
      </c>
      <c r="G40" s="70">
        <f t="shared" ref="G40:K40" si="3">ROUND(AVERAGE(G5:G38), 2)</f>
        <v>4</v>
      </c>
      <c r="H40" s="70">
        <f t="shared" si="3"/>
        <v>3.76</v>
      </c>
      <c r="I40" s="70">
        <f t="shared" si="3"/>
        <v>3.79</v>
      </c>
      <c r="J40" s="70">
        <f t="shared" si="3"/>
        <v>3.97</v>
      </c>
      <c r="K40" s="70">
        <f t="shared" si="3"/>
        <v>3.88</v>
      </c>
    </row>
    <row r="41" ht="33.0" customHeight="1">
      <c r="A41" s="69"/>
      <c r="B41" s="69"/>
      <c r="C41" s="69"/>
      <c r="D41" s="90"/>
      <c r="E41" s="90"/>
      <c r="F41" s="91" t="s">
        <v>227</v>
      </c>
      <c r="G41" s="70">
        <f t="shared" ref="G41:K41" si="4">ROUND(_xlfn.STDEV.S(G6:G38),2)</f>
        <v>0</v>
      </c>
      <c r="H41" s="70">
        <f t="shared" si="4"/>
        <v>0.61</v>
      </c>
      <c r="I41" s="70">
        <f t="shared" si="4"/>
        <v>0.42</v>
      </c>
      <c r="J41" s="70">
        <f t="shared" si="4"/>
        <v>0.17</v>
      </c>
      <c r="K41" s="70">
        <f t="shared" si="4"/>
        <v>0.23</v>
      </c>
    </row>
    <row r="42" ht="30.0" customHeight="1">
      <c r="A42" s="69"/>
      <c r="B42" s="69"/>
      <c r="C42" s="69"/>
      <c r="D42" s="90"/>
      <c r="E42" s="90"/>
      <c r="F42" s="92" t="s">
        <v>228</v>
      </c>
      <c r="G42" s="70" t="str">
        <f t="shared" ref="G42:K42" si="5">TEXT(AVERAGE(G6:G38),"0.00")&amp;" ± "&amp;TEXT(_xlfn.STDEV.S(G6:G38),"0.00")</f>
        <v>4,00 ± 0,00</v>
      </c>
      <c r="H42" s="70" t="str">
        <f t="shared" si="5"/>
        <v>3,76 ± 0,61</v>
      </c>
      <c r="I42" s="70" t="str">
        <f t="shared" si="5"/>
        <v>3,79 ± 0,42</v>
      </c>
      <c r="J42" s="70" t="str">
        <f t="shared" si="5"/>
        <v>3,97 ± 0,17</v>
      </c>
      <c r="K42" s="70" t="str">
        <f t="shared" si="5"/>
        <v>3,88 ± 0,23</v>
      </c>
    </row>
    <row r="43" ht="30.0" customHeight="1">
      <c r="A43" s="69"/>
      <c r="B43" s="69"/>
      <c r="C43" s="69"/>
      <c r="D43" s="90"/>
      <c r="E43" s="90"/>
      <c r="F43" s="90"/>
      <c r="G43" s="70"/>
      <c r="H43" s="71"/>
      <c r="I43" s="70"/>
      <c r="J43" s="71"/>
      <c r="K43" s="70"/>
    </row>
    <row r="44" ht="33.0" customHeight="1">
      <c r="A44" s="69"/>
      <c r="B44" s="69"/>
      <c r="C44" s="69"/>
      <c r="D44" s="90"/>
      <c r="E44" s="90"/>
      <c r="F44" s="90"/>
      <c r="G44" s="70"/>
      <c r="H44" s="71"/>
      <c r="I44" s="70"/>
      <c r="J44" s="71"/>
      <c r="K44" s="70"/>
    </row>
    <row r="45" ht="30.75" customHeight="1">
      <c r="A45" s="69"/>
      <c r="B45" s="69"/>
      <c r="C45" s="69"/>
      <c r="D45" s="90"/>
      <c r="E45" s="90"/>
      <c r="F45" s="90"/>
      <c r="G45" s="70"/>
      <c r="H45" s="71"/>
      <c r="I45" s="70"/>
      <c r="J45" s="71"/>
      <c r="K45" s="70"/>
    </row>
    <row r="46" ht="31.5" customHeight="1">
      <c r="A46" s="69"/>
      <c r="B46" s="69"/>
      <c r="C46" s="69"/>
      <c r="D46" s="90"/>
      <c r="E46" s="90"/>
      <c r="F46" s="90"/>
      <c r="G46" s="70"/>
      <c r="H46" s="71"/>
      <c r="I46" s="70"/>
      <c r="J46" s="71"/>
      <c r="K46" s="70"/>
    </row>
    <row r="47" ht="29.25" customHeight="1">
      <c r="A47" s="69"/>
      <c r="B47" s="69"/>
      <c r="C47" s="69"/>
      <c r="D47" s="90"/>
      <c r="E47" s="90"/>
      <c r="F47" s="90"/>
      <c r="G47" s="70"/>
      <c r="H47" s="71"/>
      <c r="I47" s="70"/>
      <c r="J47" s="71"/>
      <c r="K47" s="70"/>
    </row>
    <row r="48" ht="151.5" customHeight="1">
      <c r="A48" s="69"/>
      <c r="B48" s="69"/>
      <c r="C48" s="69"/>
      <c r="D48" s="90"/>
      <c r="E48" s="90"/>
      <c r="F48" s="90"/>
      <c r="G48" s="70"/>
      <c r="H48" s="71"/>
      <c r="I48" s="70"/>
      <c r="J48" s="71"/>
      <c r="K48" s="70"/>
    </row>
    <row r="49" ht="146.25" customHeight="1">
      <c r="A49" s="69"/>
      <c r="B49" s="69"/>
      <c r="C49" s="69"/>
      <c r="D49" s="90"/>
      <c r="E49" s="90"/>
      <c r="F49" s="90"/>
      <c r="G49" s="70"/>
      <c r="H49" s="71"/>
      <c r="I49" s="70"/>
      <c r="J49" s="71"/>
      <c r="K49" s="70"/>
    </row>
    <row r="50" ht="148.5" customHeight="1">
      <c r="A50" s="69"/>
      <c r="B50" s="69"/>
      <c r="C50" s="69"/>
      <c r="D50" s="90"/>
      <c r="E50" s="90"/>
      <c r="F50" s="90"/>
      <c r="G50" s="70"/>
      <c r="H50" s="71"/>
      <c r="I50" s="70"/>
      <c r="J50" s="71"/>
      <c r="K50" s="70"/>
    </row>
    <row r="51" ht="188.25" customHeight="1">
      <c r="A51" s="69"/>
      <c r="B51" s="69"/>
      <c r="C51" s="96"/>
      <c r="D51" s="90"/>
      <c r="E51" s="90"/>
      <c r="F51" s="90"/>
      <c r="G51" s="70"/>
      <c r="H51" s="71"/>
      <c r="I51" s="70"/>
      <c r="J51" s="71"/>
      <c r="K51" s="70"/>
    </row>
    <row r="52" ht="127.5" customHeight="1">
      <c r="A52" s="69"/>
      <c r="B52" s="69"/>
      <c r="C52" s="69"/>
      <c r="D52" s="90"/>
      <c r="E52" s="90"/>
      <c r="F52" s="90"/>
      <c r="G52" s="70"/>
      <c r="H52" s="71"/>
      <c r="I52" s="70"/>
      <c r="J52" s="71"/>
      <c r="K52" s="70"/>
    </row>
    <row r="53" ht="186.75" customHeight="1">
      <c r="A53" s="69"/>
      <c r="B53" s="69"/>
      <c r="C53" s="69"/>
      <c r="D53" s="90"/>
      <c r="E53" s="90"/>
      <c r="F53" s="90"/>
      <c r="G53" s="70"/>
      <c r="H53" s="71"/>
      <c r="I53" s="70"/>
      <c r="J53" s="71"/>
      <c r="K53" s="70"/>
    </row>
    <row r="54" ht="144.0" customHeight="1">
      <c r="A54" s="69"/>
      <c r="B54" s="69"/>
      <c r="C54" s="69"/>
      <c r="D54" s="90"/>
      <c r="E54" s="90"/>
      <c r="F54" s="90"/>
      <c r="G54" s="70"/>
      <c r="H54" s="71"/>
      <c r="I54" s="70"/>
      <c r="J54" s="71"/>
      <c r="K54" s="70"/>
    </row>
    <row r="55" ht="151.5" customHeight="1">
      <c r="A55" s="69"/>
      <c r="B55" s="69"/>
      <c r="C55" s="69"/>
      <c r="D55" s="90"/>
      <c r="E55" s="90"/>
      <c r="F55" s="90"/>
      <c r="G55" s="70"/>
      <c r="H55" s="71"/>
      <c r="I55" s="70"/>
      <c r="J55" s="71"/>
      <c r="K55" s="70"/>
    </row>
    <row r="56" ht="147.75" customHeight="1">
      <c r="A56" s="69"/>
      <c r="B56" s="69"/>
      <c r="C56" s="69"/>
      <c r="D56" s="90"/>
      <c r="E56" s="90"/>
      <c r="F56" s="90"/>
      <c r="G56" s="70"/>
      <c r="H56" s="71"/>
      <c r="I56" s="70"/>
      <c r="J56" s="71"/>
      <c r="K56" s="70"/>
    </row>
    <row r="57" ht="140.25" customHeight="1">
      <c r="A57" s="69"/>
      <c r="B57" s="69"/>
      <c r="C57" s="69"/>
      <c r="D57" s="90"/>
      <c r="E57" s="90"/>
      <c r="F57" s="90"/>
      <c r="G57" s="70"/>
      <c r="H57" s="71"/>
      <c r="I57" s="70"/>
      <c r="J57" s="71"/>
      <c r="K57" s="70"/>
    </row>
    <row r="58" ht="151.5" customHeight="1">
      <c r="A58" s="69"/>
      <c r="B58" s="69"/>
      <c r="C58" s="69"/>
      <c r="D58" s="90"/>
      <c r="E58" s="90"/>
      <c r="F58" s="90"/>
      <c r="G58" s="70"/>
      <c r="H58" s="71"/>
      <c r="I58" s="70"/>
      <c r="J58" s="71"/>
      <c r="K58" s="70"/>
    </row>
    <row r="59" ht="159.75" customHeight="1">
      <c r="A59" s="69"/>
      <c r="B59" s="69"/>
      <c r="C59" s="69"/>
      <c r="D59" s="90"/>
      <c r="E59" s="90"/>
      <c r="F59" s="90"/>
      <c r="G59" s="70"/>
      <c r="H59" s="71"/>
      <c r="I59" s="70"/>
      <c r="J59" s="71"/>
      <c r="K59" s="70"/>
    </row>
    <row r="60" ht="147.75" customHeight="1">
      <c r="A60" s="69"/>
      <c r="B60" s="69"/>
      <c r="C60" s="69"/>
      <c r="D60" s="90"/>
      <c r="E60" s="90"/>
      <c r="F60" s="90"/>
      <c r="G60" s="70"/>
      <c r="H60" s="71"/>
      <c r="I60" s="70"/>
      <c r="J60" s="71"/>
      <c r="K60" s="70"/>
    </row>
    <row r="61" ht="193.5" customHeight="1">
      <c r="A61" s="69"/>
      <c r="B61" s="69"/>
      <c r="C61" s="69"/>
      <c r="D61" s="90"/>
      <c r="E61" s="90"/>
      <c r="F61" s="90"/>
      <c r="G61" s="70"/>
      <c r="H61" s="71"/>
      <c r="I61" s="70"/>
      <c r="J61" s="71"/>
      <c r="K61" s="70"/>
    </row>
    <row r="62" ht="170.25" customHeight="1">
      <c r="A62" s="69"/>
      <c r="B62" s="69"/>
      <c r="C62" s="69"/>
      <c r="D62" s="90"/>
      <c r="E62" s="90"/>
      <c r="F62" s="90"/>
      <c r="G62" s="70"/>
      <c r="H62" s="71"/>
      <c r="I62" s="70"/>
      <c r="J62" s="71"/>
      <c r="K62" s="70"/>
    </row>
    <row r="63" ht="178.5" customHeight="1">
      <c r="A63" s="69"/>
      <c r="B63" s="69"/>
      <c r="C63" s="69"/>
      <c r="D63" s="90"/>
      <c r="E63" s="90"/>
      <c r="F63" s="90"/>
      <c r="G63" s="70"/>
      <c r="H63" s="71"/>
      <c r="I63" s="70"/>
      <c r="J63" s="71"/>
      <c r="K63" s="70"/>
    </row>
    <row r="64" ht="188.25" customHeight="1">
      <c r="A64" s="69"/>
      <c r="B64" s="69"/>
      <c r="C64" s="69"/>
      <c r="D64" s="90"/>
      <c r="E64" s="90"/>
      <c r="F64" s="90"/>
      <c r="G64" s="70"/>
      <c r="H64" s="71"/>
      <c r="I64" s="70"/>
      <c r="J64" s="71"/>
      <c r="K64" s="70"/>
    </row>
    <row r="65" ht="146.25" customHeight="1">
      <c r="A65" s="69"/>
      <c r="B65" s="69"/>
      <c r="C65" s="69"/>
      <c r="D65" s="90"/>
      <c r="E65" s="90"/>
      <c r="F65" s="90"/>
      <c r="G65" s="70"/>
      <c r="H65" s="71"/>
      <c r="I65" s="70"/>
      <c r="J65" s="71"/>
      <c r="K65" s="70"/>
    </row>
    <row r="66" ht="157.5" customHeight="1">
      <c r="A66" s="69"/>
      <c r="B66" s="69"/>
      <c r="C66" s="69"/>
      <c r="D66" s="90"/>
      <c r="E66" s="90"/>
      <c r="F66" s="90"/>
      <c r="G66" s="70"/>
      <c r="H66" s="71"/>
      <c r="I66" s="70"/>
      <c r="J66" s="71"/>
      <c r="K66" s="70"/>
    </row>
    <row r="67" ht="169.5" customHeight="1">
      <c r="A67" s="69"/>
      <c r="B67" s="69"/>
      <c r="C67" s="69"/>
      <c r="D67" s="90"/>
      <c r="E67" s="90"/>
      <c r="F67" s="90"/>
      <c r="G67" s="70"/>
      <c r="H67" s="71"/>
      <c r="I67" s="70"/>
      <c r="J67" s="71"/>
      <c r="K67" s="70"/>
    </row>
    <row r="68" ht="174.0" customHeight="1">
      <c r="A68" s="69"/>
      <c r="B68" s="69"/>
      <c r="C68" s="69"/>
      <c r="D68" s="90"/>
      <c r="E68" s="90"/>
      <c r="F68" s="90"/>
      <c r="G68" s="70"/>
      <c r="H68" s="71"/>
      <c r="I68" s="70"/>
      <c r="J68" s="71"/>
      <c r="K68" s="70"/>
    </row>
    <row r="69" ht="144.75" customHeight="1">
      <c r="A69" s="69"/>
      <c r="B69" s="69"/>
      <c r="C69" s="69"/>
      <c r="D69" s="90"/>
      <c r="E69" s="90"/>
      <c r="F69" s="90"/>
      <c r="G69" s="70"/>
      <c r="H69" s="71"/>
      <c r="I69" s="70"/>
      <c r="J69" s="71"/>
      <c r="K69" s="70"/>
    </row>
    <row r="70" ht="33.75" customHeight="1">
      <c r="A70" s="69"/>
      <c r="B70" s="97"/>
      <c r="C70" s="96"/>
      <c r="D70" s="90"/>
      <c r="E70" s="90"/>
      <c r="F70" s="90"/>
      <c r="G70" s="70"/>
      <c r="H70" s="71"/>
      <c r="I70" s="70"/>
      <c r="J70" s="71"/>
      <c r="K70" s="70"/>
    </row>
    <row r="71" ht="31.5" customHeight="1">
      <c r="A71" s="69"/>
      <c r="B71" s="97"/>
      <c r="C71" s="96"/>
      <c r="D71" s="90"/>
      <c r="E71" s="90"/>
      <c r="F71" s="90"/>
      <c r="G71" s="70"/>
      <c r="H71" s="71"/>
      <c r="I71" s="70"/>
      <c r="J71" s="71"/>
      <c r="K71" s="70"/>
    </row>
    <row r="72" ht="35.25" customHeight="1">
      <c r="A72" s="69"/>
      <c r="B72" s="97"/>
      <c r="C72" s="96"/>
      <c r="D72" s="90"/>
      <c r="E72" s="90"/>
      <c r="F72" s="90"/>
      <c r="G72" s="70"/>
      <c r="H72" s="71"/>
      <c r="I72" s="70"/>
      <c r="J72" s="71"/>
      <c r="K72" s="70"/>
    </row>
    <row r="73" ht="146.25" customHeight="1">
      <c r="A73" s="69"/>
      <c r="B73" s="97"/>
      <c r="C73" s="96"/>
      <c r="D73" s="90"/>
      <c r="E73" s="90"/>
      <c r="F73" s="90"/>
      <c r="G73" s="70"/>
      <c r="H73" s="71"/>
      <c r="I73" s="70"/>
      <c r="J73" s="71"/>
      <c r="K73" s="70"/>
    </row>
    <row r="74" ht="161.25" customHeight="1">
      <c r="A74" s="69"/>
      <c r="B74" s="97"/>
      <c r="C74" s="96"/>
      <c r="D74" s="90"/>
      <c r="E74" s="90"/>
      <c r="F74" s="90"/>
      <c r="G74" s="70"/>
      <c r="H74" s="71"/>
      <c r="I74" s="70"/>
      <c r="J74" s="71"/>
      <c r="K74" s="70"/>
    </row>
    <row r="75" ht="102.75" customHeight="1">
      <c r="A75" s="69"/>
      <c r="B75" s="97"/>
      <c r="C75" s="96"/>
      <c r="D75" s="90"/>
      <c r="E75" s="90"/>
      <c r="F75" s="90"/>
      <c r="G75" s="70"/>
      <c r="H75" s="71"/>
      <c r="I75" s="70"/>
      <c r="J75" s="71"/>
      <c r="K75" s="70"/>
    </row>
    <row r="76" ht="154.5" customHeight="1">
      <c r="A76" s="69"/>
      <c r="B76" s="97"/>
      <c r="C76" s="96"/>
      <c r="D76" s="90"/>
      <c r="E76" s="90"/>
      <c r="F76" s="90"/>
      <c r="G76" s="70"/>
      <c r="H76" s="71"/>
      <c r="I76" s="70"/>
      <c r="J76" s="71"/>
      <c r="K76" s="70"/>
    </row>
    <row r="77" ht="150.0" customHeight="1">
      <c r="A77" s="69"/>
      <c r="B77" s="97"/>
      <c r="C77" s="96"/>
      <c r="D77" s="90"/>
      <c r="E77" s="90"/>
      <c r="F77" s="90"/>
      <c r="G77" s="70"/>
      <c r="H77" s="71"/>
      <c r="I77" s="70"/>
      <c r="J77" s="71"/>
      <c r="K77" s="70"/>
    </row>
    <row r="78" ht="90.0" customHeight="1">
      <c r="A78" s="69"/>
      <c r="B78" s="69"/>
      <c r="C78" s="69"/>
      <c r="D78" s="90"/>
      <c r="E78" s="90"/>
      <c r="F78" s="90"/>
      <c r="G78" s="119"/>
      <c r="H78" s="90"/>
    </row>
    <row r="79" ht="90.0" customHeight="1"/>
    <row r="80" ht="90.0" customHeight="1"/>
    <row r="81" ht="90.0" customHeight="1"/>
    <row r="82" ht="90.0" customHeight="1"/>
    <row r="83" ht="90.0"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